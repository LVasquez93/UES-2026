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VERSIONES ALVEZ\Desktop\UES\2025\Ciclo I\"/>
    </mc:Choice>
  </mc:AlternateContent>
  <xr:revisionPtr revIDLastSave="0" documentId="13_ncr:1_{1126E17F-804B-40AC-9AD4-785DA0748EAC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ortada" sheetId="4" r:id="rId1"/>
    <sheet name="Planteamiento" sheetId="3" r:id="rId2"/>
    <sheet name="PLANILLA" sheetId="2" r:id="rId3"/>
    <sheet name="Boleta de pago" sheetId="6" r:id="rId4"/>
  </sheets>
  <definedNames>
    <definedName name="_xlnm.Print_Titles" localSheetId="3">'Boleta de pago'!$1:$10</definedName>
  </definedNames>
  <calcPr calcId="181029"/>
</workbook>
</file>

<file path=xl/calcChain.xml><?xml version="1.0" encoding="utf-8"?>
<calcChain xmlns="http://schemas.openxmlformats.org/spreadsheetml/2006/main">
  <c r="K17" i="2" l="1"/>
  <c r="K12" i="2"/>
  <c r="F12" i="2"/>
  <c r="F13" i="2" s="1"/>
  <c r="H11" i="2"/>
  <c r="G10" i="2"/>
  <c r="G9" i="2"/>
  <c r="G8" i="2"/>
  <c r="G7" i="2"/>
  <c r="J54" i="3"/>
  <c r="M52" i="3"/>
  <c r="M47" i="3"/>
  <c r="J46" i="3"/>
  <c r="J55" i="3" s="1"/>
  <c r="H44" i="3"/>
  <c r="H45" i="3" s="1"/>
  <c r="I43" i="3"/>
  <c r="C43" i="3"/>
  <c r="C44" i="3" s="1"/>
  <c r="C45" i="3" s="1"/>
  <c r="C47" i="3" s="1"/>
  <c r="C48" i="3" s="1"/>
  <c r="C49" i="3" s="1"/>
  <c r="C50" i="3" s="1"/>
  <c r="C51" i="3" s="1"/>
  <c r="C52" i="3" s="1"/>
  <c r="C53" i="3" s="1"/>
  <c r="I42" i="3"/>
  <c r="AD7" i="2"/>
  <c r="D20" i="6"/>
  <c r="D13" i="6"/>
  <c r="C7" i="6"/>
  <c r="G28" i="6" s="1"/>
  <c r="F14" i="2" l="1"/>
  <c r="F18" i="2"/>
  <c r="G18" i="2" s="1"/>
  <c r="G13" i="2"/>
  <c r="F17" i="2"/>
  <c r="G17" i="2" s="1"/>
  <c r="G12" i="2"/>
  <c r="H47" i="3"/>
  <c r="I45" i="3"/>
  <c r="I44" i="3"/>
  <c r="F1" i="2"/>
  <c r="F15" i="2" l="1"/>
  <c r="G14" i="2"/>
  <c r="H48" i="3"/>
  <c r="I47" i="3"/>
  <c r="H52" i="3"/>
  <c r="I52" i="3" s="1"/>
  <c r="D19" i="6"/>
  <c r="AD18" i="2"/>
  <c r="D15" i="6"/>
  <c r="AD16" i="2"/>
  <c r="AD15" i="2"/>
  <c r="AD14" i="2"/>
  <c r="AD13" i="2"/>
  <c r="AD12" i="2"/>
  <c r="AD10" i="2"/>
  <c r="AD9" i="2"/>
  <c r="G15" i="2" l="1"/>
  <c r="F16" i="2"/>
  <c r="G16" i="2" s="1"/>
  <c r="H49" i="3"/>
  <c r="I48" i="3"/>
  <c r="H53" i="3"/>
  <c r="I53" i="3" s="1"/>
  <c r="AD8" i="2"/>
  <c r="AD17" i="2"/>
  <c r="D14" i="6" s="1"/>
  <c r="M11" i="2"/>
  <c r="N11" i="2"/>
  <c r="N19" i="2"/>
  <c r="M19" i="2"/>
  <c r="O11" i="2"/>
  <c r="O19" i="2"/>
  <c r="H19" i="2"/>
  <c r="H50" i="3" l="1"/>
  <c r="I49" i="3"/>
  <c r="M20" i="2"/>
  <c r="AD19" i="2"/>
  <c r="AD11" i="2"/>
  <c r="N20" i="2"/>
  <c r="O20" i="2"/>
  <c r="X11" i="2"/>
  <c r="K14" i="6"/>
  <c r="A8" i="2"/>
  <c r="A9" i="2" s="1"/>
  <c r="A10" i="2" s="1"/>
  <c r="A12" i="2" s="1"/>
  <c r="A13" i="2" s="1"/>
  <c r="A14" i="2" s="1"/>
  <c r="A15" i="2" s="1"/>
  <c r="A16" i="2" s="1"/>
  <c r="A17" i="2" s="1"/>
  <c r="A18" i="2" s="1"/>
  <c r="H51" i="3" l="1"/>
  <c r="I51" i="3" s="1"/>
  <c r="I50" i="3"/>
  <c r="AD20" i="2"/>
  <c r="X19" i="2"/>
  <c r="X20" i="2" s="1"/>
  <c r="S7" i="2" l="1"/>
  <c r="R7" i="2" s="1"/>
  <c r="S8" i="2" l="1"/>
  <c r="R8" i="2" s="1"/>
  <c r="W19" i="2"/>
  <c r="W11" i="2"/>
  <c r="P11" i="2"/>
  <c r="P19" i="2"/>
  <c r="H20" i="2"/>
  <c r="P20" i="2" l="1"/>
  <c r="W20" i="2"/>
  <c r="S9" i="2" l="1"/>
  <c r="R9" i="2"/>
  <c r="S18" i="2" l="1"/>
  <c r="R18" i="2" s="1"/>
  <c r="S10" i="2"/>
  <c r="S11" i="2" s="1"/>
  <c r="Q11" i="2"/>
  <c r="S17" i="2" l="1"/>
  <c r="R17" i="2" s="1"/>
  <c r="S12" i="2"/>
  <c r="R12" i="2"/>
  <c r="S13" i="2"/>
  <c r="R13" i="2"/>
  <c r="R10" i="2"/>
  <c r="R11" i="2" s="1"/>
  <c r="T11" i="2"/>
  <c r="V11" i="2" l="1"/>
  <c r="Y11" i="2"/>
  <c r="S14" i="2"/>
  <c r="R14" i="2"/>
  <c r="Z18" i="2"/>
  <c r="Z11" i="2"/>
  <c r="Z12" i="2"/>
  <c r="U11" i="2"/>
  <c r="K13" i="6" l="1"/>
  <c r="K25" i="6" s="1"/>
  <c r="S15" i="2"/>
  <c r="R15" i="2"/>
  <c r="S16" i="2"/>
  <c r="R16" i="2" s="1"/>
  <c r="D16" i="6" s="1"/>
  <c r="D25" i="6" s="1"/>
  <c r="Z17" i="2"/>
  <c r="S19" i="2"/>
  <c r="S20" i="2" s="1"/>
  <c r="Z13" i="2"/>
  <c r="Q19" i="2"/>
  <c r="Q20" i="2" s="1"/>
  <c r="R19" i="2" l="1"/>
  <c r="R20" i="2" s="1"/>
  <c r="D27" i="6"/>
  <c r="Z14" i="2"/>
  <c r="T19" i="2"/>
  <c r="T20" i="2" s="1"/>
  <c r="Y19" i="2"/>
  <c r="Y20" i="2" s="1"/>
  <c r="V19" i="2" l="1"/>
  <c r="V20" i="2" s="1"/>
  <c r="Z15" i="2"/>
  <c r="Z16" i="2"/>
  <c r="U19" i="2"/>
  <c r="U20" i="2" s="1"/>
  <c r="Z19" i="2" l="1"/>
  <c r="Z20" i="2" s="1"/>
</calcChain>
</file>

<file path=xl/metadata.xml><?xml version="1.0" encoding="utf-8"?>
<metadata xmlns="http://schemas.openxmlformats.org/spreadsheetml/2006/main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">
    <bk>
      <extLst>
        <ext xmlns:xlrd="http://schemas.microsoft.com/office/spreadsheetml/2017/richdata" uri="{3e2802c4-a4d2-4d8b-9148-e3be6c30e623}">
          <xlrd:rvb i="0"/>
        </ext>
      </extLst>
    </bk>
    <bk>
      <extLst>
        <ext xmlns:xlrd="http://schemas.microsoft.com/office/spreadsheetml/2017/richdata" uri="{3e2802c4-a4d2-4d8b-9148-e3be6c30e623}">
          <xlrd:rvb i="1"/>
        </ext>
      </extLst>
    </bk>
    <bk>
      <extLst>
        <ext xmlns:xlrd="http://schemas.microsoft.com/office/spreadsheetml/2017/richdata" uri="{3e2802c4-a4d2-4d8b-9148-e3be6c30e623}">
          <xlrd:rvb i="2"/>
        </ext>
      </extLst>
    </bk>
    <bk>
      <extLst>
        <ext xmlns:xlrd="http://schemas.microsoft.com/office/spreadsheetml/2017/richdata" uri="{3e2802c4-a4d2-4d8b-9148-e3be6c30e623}">
          <xlrd:rvb i="3"/>
        </ext>
      </extLst>
    </bk>
  </future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<sst xmlns="http://schemas.openxmlformats.org/spreadsheetml/2006/main" count="190" uniqueCount="127">
  <si>
    <t>AREA</t>
  </si>
  <si>
    <t>PUESTO FUNCIONAL</t>
  </si>
  <si>
    <t>TOTAL POR PUESTO/ MENSUAL</t>
  </si>
  <si>
    <t>SUB-TOTAL</t>
  </si>
  <si>
    <t>TOTAL</t>
  </si>
  <si>
    <t>Soporte de redes y HW</t>
  </si>
  <si>
    <t>Fecha de ingreso a la empresa</t>
  </si>
  <si>
    <t>Gerencia</t>
  </si>
  <si>
    <t>Tiempo en la empresa (años)</t>
  </si>
  <si>
    <t>Fecha de corte</t>
  </si>
  <si>
    <t>N°</t>
  </si>
  <si>
    <t>Administración</t>
  </si>
  <si>
    <t>Asistente de JCD</t>
  </si>
  <si>
    <t>IT</t>
  </si>
  <si>
    <t>Contaduría</t>
  </si>
  <si>
    <t>Contador General</t>
  </si>
  <si>
    <t>Bodega</t>
  </si>
  <si>
    <t>Jefe de bodega</t>
  </si>
  <si>
    <t>Montacarguista</t>
  </si>
  <si>
    <t>Revisador</t>
  </si>
  <si>
    <t>Jefe de Operaciones</t>
  </si>
  <si>
    <t>Formato para desarrollo de ejercicios</t>
  </si>
  <si>
    <t>Tema</t>
  </si>
  <si>
    <t>:</t>
  </si>
  <si>
    <t>Tipo de prueba</t>
  </si>
  <si>
    <t>Ejercicio práctico</t>
  </si>
  <si>
    <t>Objetivo</t>
  </si>
  <si>
    <t>Link</t>
  </si>
  <si>
    <t>Provisión de planilla</t>
  </si>
  <si>
    <t>Planteamiento del problema:</t>
  </si>
  <si>
    <r>
      <t xml:space="preserve">Formato: </t>
    </r>
    <r>
      <rPr>
        <sz val="11"/>
        <color theme="1"/>
        <rFont val="Calibri"/>
        <family val="2"/>
        <scheme val="minor"/>
      </rPr>
      <t>FPDE</t>
    </r>
  </si>
  <si>
    <r>
      <t xml:space="preserve">Fecha de revisión: </t>
    </r>
    <r>
      <rPr>
        <sz val="11"/>
        <color theme="1"/>
        <rFont val="Calibri"/>
        <family val="2"/>
        <scheme val="minor"/>
      </rPr>
      <t>2024 / febrero</t>
    </r>
  </si>
  <si>
    <r>
      <t xml:space="preserve">Fecha de creación: </t>
    </r>
    <r>
      <rPr>
        <sz val="11"/>
        <color theme="1"/>
        <rFont val="Calibri"/>
        <family val="2"/>
        <scheme val="minor"/>
      </rPr>
      <t>2024 / febrero</t>
    </r>
  </si>
  <si>
    <t>Tabla N ° 1</t>
  </si>
  <si>
    <t>Planilla de bodega</t>
  </si>
  <si>
    <t>Desarrollar una provisión de planilla con el fin de poder visionar el costo de las áreas a cargo.</t>
  </si>
  <si>
    <t>Unidad II</t>
  </si>
  <si>
    <t>Administración de planillas</t>
  </si>
  <si>
    <t>Pago de planilla</t>
  </si>
  <si>
    <t>En la tabla N ° 1 se puede observar el detalle de la planilla a cancelar en el mes de diciembre. Con la información brindada determine:</t>
  </si>
  <si>
    <t>Las prestacion del ISSS a pagar por el empleado y el patrono.</t>
  </si>
  <si>
    <t>Las prestacion del AFP´S a pagar por el empleado y el patrono.</t>
  </si>
  <si>
    <t>Horas extras diurnas (hrs /mes)</t>
  </si>
  <si>
    <t>Horas nocturnas (hrs /mes)</t>
  </si>
  <si>
    <t>Horas extras nocturnas (hrs /mes)</t>
  </si>
  <si>
    <t>El monto total de las horas extras dirunas, nocturnas</t>
  </si>
  <si>
    <t>El monto total de la nocturnidad</t>
  </si>
  <si>
    <t>Subsidio por alimentación para el siguiente mes</t>
  </si>
  <si>
    <t>El monto de pago de vacaciones para quien aplique.</t>
  </si>
  <si>
    <t>Vaciones</t>
  </si>
  <si>
    <t>Monto gravado cotizable</t>
  </si>
  <si>
    <t>Horas extras nocturnas ($ /mes)</t>
  </si>
  <si>
    <t>Horas nocturnas ($ /mes)</t>
  </si>
  <si>
    <t>Horas extras diurnas ($ /mes)</t>
  </si>
  <si>
    <t>ISSS Patronal ( 7.5 % ) / mes</t>
  </si>
  <si>
    <t>ISSS Empleado ( 3.0 % ) / mes</t>
  </si>
  <si>
    <t>El monto del pago del aguinaldo para quien aplique. (Considere un aguinaldo gravado sobre el exceso de $ 1,200 / mes)</t>
  </si>
  <si>
    <t>Aguinaldo no gravado</t>
  </si>
  <si>
    <t>Aguinaldo gravado para renta</t>
  </si>
  <si>
    <t>AFPS Patronal (8.75 %) / mes</t>
  </si>
  <si>
    <t>AFPS Empleado (7.25 %) / mes</t>
  </si>
  <si>
    <t>Monto a depositar al empleado</t>
  </si>
  <si>
    <t>Monto a depositar en la planilla única</t>
  </si>
  <si>
    <t>Boleta de pago</t>
  </si>
  <si>
    <t>Código</t>
  </si>
  <si>
    <t>Nombre</t>
  </si>
  <si>
    <t>NIT</t>
  </si>
  <si>
    <t>Días trabajados:</t>
  </si>
  <si>
    <t>(+) Ingresos percibidos</t>
  </si>
  <si>
    <t>(-) Egresos y deducciones</t>
  </si>
  <si>
    <t>Salario devengado:</t>
  </si>
  <si>
    <t>ISSS:</t>
  </si>
  <si>
    <t>Horas extras:</t>
  </si>
  <si>
    <t>AFP´S:</t>
  </si>
  <si>
    <t>FSPV:</t>
  </si>
  <si>
    <t>Aguinaldo:</t>
  </si>
  <si>
    <t>Imp. Sobre / renta:</t>
  </si>
  <si>
    <t>Bonificaciones:</t>
  </si>
  <si>
    <t>Anticipos:</t>
  </si>
  <si>
    <t>Vacación deveng.:</t>
  </si>
  <si>
    <t>Prestamos:</t>
  </si>
  <si>
    <t>Prestamos</t>
  </si>
  <si>
    <t>Vacación 30%:</t>
  </si>
  <si>
    <t>Otros descuentos:</t>
  </si>
  <si>
    <t>Otros</t>
  </si>
  <si>
    <t>Viáticos:</t>
  </si>
  <si>
    <t>Prestamos bancarios:</t>
  </si>
  <si>
    <t>Premios:</t>
  </si>
  <si>
    <t>Seguros:</t>
  </si>
  <si>
    <t>Dietas</t>
  </si>
  <si>
    <t>Descuentos p/equipo:</t>
  </si>
  <si>
    <t>Otros ingresos:</t>
  </si>
  <si>
    <t>Liquidación:</t>
  </si>
  <si>
    <t>Total ingresos</t>
  </si>
  <si>
    <t>Total egresos</t>
  </si>
  <si>
    <t>Total Neto a recibir</t>
  </si>
  <si>
    <t>F.</t>
  </si>
  <si>
    <t>Nombre y firma de recibido</t>
  </si>
  <si>
    <t>XYZ S.A. de C.V.
98 Avenida norte , N° 13420, Colonia Escalón,
San Salvador, EL Salvador
Tel. (503) 4444-6474; FAX: (503) 4444-6436
email: XYZ@gmail.com</t>
  </si>
  <si>
    <t>Codigo</t>
  </si>
  <si>
    <t>JF</t>
  </si>
  <si>
    <t>AJCD</t>
  </si>
  <si>
    <t>CG</t>
  </si>
  <si>
    <t>SR</t>
  </si>
  <si>
    <t>JB</t>
  </si>
  <si>
    <t>AUX01</t>
  </si>
  <si>
    <t>AUX02</t>
  </si>
  <si>
    <t>AUX03</t>
  </si>
  <si>
    <t>AUX04</t>
  </si>
  <si>
    <t>MONT</t>
  </si>
  <si>
    <t>REV</t>
  </si>
  <si>
    <t>0614-040483-129-5</t>
  </si>
  <si>
    <t>Auxiliares de bodega01</t>
  </si>
  <si>
    <t>Auxiliares de bodega02</t>
  </si>
  <si>
    <t>Auxiliares de bodega03</t>
  </si>
  <si>
    <t>Auxiliares de bodega04</t>
  </si>
  <si>
    <t>Total de horas extras</t>
  </si>
  <si>
    <t>Nocturnidad</t>
  </si>
  <si>
    <t>Aguinaldo total</t>
  </si>
  <si>
    <t>Período del xx al xx mes de 2024</t>
  </si>
  <si>
    <t>El monto del aguinaldo no gravado</t>
  </si>
  <si>
    <t>El monto del aguinaldo gravado</t>
  </si>
  <si>
    <t>Considerando un viático por $ 30 por empleado en concepto de alimentación, calcular el monto gravado cotizable</t>
  </si>
  <si>
    <t>El monto a depositar del empleado.</t>
  </si>
  <si>
    <t>El monto a depositar a la planilla única.</t>
  </si>
  <si>
    <t>No tocar</t>
  </si>
  <si>
    <t>Contabilidad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</si>
</sst>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&quot;CV&quot;0000"/>
    <numFmt numFmtId="166" formatCode="000000000000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 val="doubleAccounting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theme="1"/>
      </left>
      <right/>
      <top style="thick">
        <color theme="1"/>
      </top>
      <bottom style="thin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/>
      <right style="thick">
        <color theme="1"/>
      </right>
      <top style="thick">
        <color theme="1"/>
      </top>
      <bottom style="thin">
        <color theme="1"/>
      </bottom>
      <diagonal/>
    </border>
    <border>
      <left/>
      <right/>
      <top/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40">
    <xf numFmtId="0" fontId="0" fillId="0" borderId="0" xfId="0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center" vertical="center" wrapText="1"/>
    </xf>
    <xf numFmtId="0" fontId="6" fillId="2" borderId="0" xfId="2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5" borderId="0" xfId="0" applyFill="1"/>
    <xf numFmtId="0" fontId="2" fillId="5" borderId="0" xfId="0" applyFont="1" applyFill="1"/>
    <xf numFmtId="10" fontId="0" fillId="5" borderId="0" xfId="0" applyNumberFormat="1" applyFill="1" applyAlignment="1">
      <alignment horizontal="center"/>
    </xf>
    <xf numFmtId="0" fontId="0" fillId="5" borderId="0" xfId="0" applyFill="1" applyAlignment="1">
      <alignment vertical="center"/>
    </xf>
    <xf numFmtId="164" fontId="0" fillId="5" borderId="0" xfId="0" applyNumberFormat="1" applyFill="1"/>
    <xf numFmtId="44" fontId="2" fillId="5" borderId="0" xfId="1" applyFont="1" applyFill="1"/>
    <xf numFmtId="0" fontId="0" fillId="5" borderId="0" xfId="0" applyFill="1" applyAlignment="1">
      <alignment horizontal="center" vertical="center"/>
    </xf>
    <xf numFmtId="9" fontId="0" fillId="5" borderId="0" xfId="1" applyNumberFormat="1" applyFont="1" applyFill="1"/>
    <xf numFmtId="44" fontId="2" fillId="5" borderId="0" xfId="0" applyNumberFormat="1" applyFont="1" applyFill="1"/>
    <xf numFmtId="44" fontId="0" fillId="5" borderId="0" xfId="0" applyNumberFormat="1" applyFill="1"/>
    <xf numFmtId="9" fontId="0" fillId="5" borderId="0" xfId="0" applyNumberFormat="1" applyFill="1"/>
    <xf numFmtId="44" fontId="2" fillId="0" borderId="1" xfId="1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14" fontId="0" fillId="0" borderId="1" xfId="0" applyNumberFormat="1" applyBorder="1" applyAlignment="1">
      <alignment horizontal="center" vertical="center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4" fontId="10" fillId="0" borderId="1" xfId="0" applyNumberFormat="1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44" fontId="0" fillId="0" borderId="1" xfId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vertical="center" wrapText="1"/>
    </xf>
    <xf numFmtId="164" fontId="10" fillId="6" borderId="1" xfId="0" applyNumberFormat="1" applyFont="1" applyFill="1" applyBorder="1" applyAlignment="1">
      <alignment horizontal="center" vertical="center" wrapText="1"/>
    </xf>
    <xf numFmtId="44" fontId="2" fillId="6" borderId="1" xfId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 wrapText="1"/>
    </xf>
    <xf numFmtId="0" fontId="0" fillId="5" borderId="0" xfId="0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8" fillId="7" borderId="1" xfId="0" applyFont="1" applyFill="1" applyBorder="1" applyAlignment="1">
      <alignment horizontal="center" vertical="center" wrapText="1"/>
    </xf>
    <xf numFmtId="44" fontId="0" fillId="7" borderId="1" xfId="1" applyFont="1" applyFill="1" applyBorder="1" applyAlignment="1">
      <alignment horizontal="center" vertical="center"/>
    </xf>
    <xf numFmtId="44" fontId="10" fillId="7" borderId="1" xfId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164" fontId="0" fillId="8" borderId="1" xfId="0" applyNumberFormat="1" applyFill="1" applyBorder="1" applyAlignment="1">
      <alignment vertical="center" wrapText="1"/>
    </xf>
    <xf numFmtId="164" fontId="10" fillId="8" borderId="1" xfId="0" applyNumberFormat="1" applyFont="1" applyFill="1" applyBorder="1" applyAlignment="1">
      <alignment horizontal="center" vertical="center" wrapText="1"/>
    </xf>
    <xf numFmtId="44" fontId="2" fillId="8" borderId="1" xfId="1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164" fontId="0" fillId="10" borderId="1" xfId="0" applyNumberFormat="1" applyFill="1" applyBorder="1" applyAlignment="1">
      <alignment vertical="center" wrapText="1"/>
    </xf>
    <xf numFmtId="164" fontId="10" fillId="10" borderId="1" xfId="0" applyNumberFormat="1" applyFont="1" applyFill="1" applyBorder="1" applyAlignment="1">
      <alignment horizontal="center" vertical="center" wrapText="1"/>
    </xf>
    <xf numFmtId="44" fontId="2" fillId="10" borderId="1" xfId="1" applyFont="1" applyFill="1" applyBorder="1" applyAlignment="1">
      <alignment horizontal="center"/>
    </xf>
    <xf numFmtId="164" fontId="2" fillId="10" borderId="1" xfId="0" applyNumberFormat="1" applyFont="1" applyFill="1" applyBorder="1" applyAlignment="1">
      <alignment horizontal="center"/>
    </xf>
    <xf numFmtId="0" fontId="2" fillId="2" borderId="0" xfId="0" applyFont="1" applyFill="1"/>
    <xf numFmtId="0" fontId="0" fillId="2" borderId="0" xfId="0" applyFill="1"/>
    <xf numFmtId="0" fontId="10" fillId="2" borderId="0" xfId="0" applyFont="1" applyFill="1" applyAlignment="1">
      <alignment vertical="center"/>
    </xf>
    <xf numFmtId="0" fontId="10" fillId="2" borderId="0" xfId="0" applyFont="1" applyFill="1" applyAlignment="1">
      <alignment horizontal="right" vertical="center"/>
    </xf>
    <xf numFmtId="0" fontId="10" fillId="2" borderId="1" xfId="0" applyFont="1" applyFill="1" applyBorder="1" applyAlignment="1">
      <alignment vertical="center"/>
    </xf>
    <xf numFmtId="44" fontId="2" fillId="2" borderId="1" xfId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0" fontId="0" fillId="2" borderId="0" xfId="0" applyFill="1" applyAlignment="1">
      <alignment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0" fontId="0" fillId="2" borderId="8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4" fillId="4" borderId="0" xfId="0" applyFont="1" applyFill="1" applyAlignment="1">
      <alignment horizontal="left"/>
    </xf>
    <xf numFmtId="0" fontId="0" fillId="2" borderId="0" xfId="0" applyFill="1" applyAlignment="1">
      <alignment horizontal="justify" vertical="center"/>
    </xf>
    <xf numFmtId="0" fontId="3" fillId="0" borderId="1" xfId="0" applyFont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65" fontId="4" fillId="9" borderId="26" xfId="0" applyNumberFormat="1" applyFont="1" applyFill="1" applyBorder="1" applyAlignment="1">
      <alignment horizontal="center" vertical="center"/>
    </xf>
    <xf numFmtId="165" fontId="4" fillId="9" borderId="27" xfId="0" applyNumberFormat="1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0" fontId="2" fillId="2" borderId="28" xfId="0" applyFont="1" applyFill="1" applyBorder="1" applyAlignment="1">
      <alignment horizontal="center"/>
    </xf>
    <xf numFmtId="164" fontId="0" fillId="2" borderId="0" xfId="3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64" fontId="11" fillId="2" borderId="0" xfId="0" applyNumberFormat="1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</cellXfs>
  <cellStyles count="4">
    <cellStyle name="Hipervínculo" xfId="2" builtinId="8"/>
    <cellStyle name="Moneda" xfId="1" builtinId="4"/>
    <cellStyle name="Moneda 2" xfId="3" xr:uid="{48340A4A-2C35-4854-86AF-8A3422E720D0}"/>
    <cellStyle name="Normal" xfId="0" builtinId="0"/>
  </cellStyles>
  <dxfs count="0"/>
  <tableStyles count="0" defaultTableStyle="TableStyleMedium2" defaultPivotStyle="PivotStyleLight16"/>
  <colors>
    <mruColors>
      <color rgb="FF00FF00"/>
      <color rgb="FF99CCFF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5.png"/><Relationship Id="rId1" Type="http://schemas.openxmlformats.org/officeDocument/2006/relationships/customXml" Target="../ink/ink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261649</xdr:colOff>
      <xdr:row>33</xdr:row>
      <xdr:rowOff>65460</xdr:rowOff>
    </xdr:from>
    <xdr:to>
      <xdr:col>22</xdr:col>
      <xdr:colOff>262009</xdr:colOff>
      <xdr:row>33</xdr:row>
      <xdr:rowOff>65820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8" name="Entrada de lápiz 7">
              <a:extLst>
                <a:ext uri="{FF2B5EF4-FFF2-40B4-BE49-F238E27FC236}">
                  <a16:creationId xmlns:a16="http://schemas.microsoft.com/office/drawing/2014/main" id="{84414DF2-C542-D82D-5FF3-562FF255DE20}"/>
                </a:ext>
              </a:extLst>
            </xdr14:cNvPr>
            <xdr14:cNvContentPartPr/>
          </xdr14:nvContentPartPr>
          <xdr14:nvPr macro=""/>
          <xdr14:xfrm>
            <a:off x="7447071" y="6905601"/>
            <a:ext cx="360" cy="360"/>
          </xdr14:xfrm>
        </xdr:contentPart>
      </mc:Choice>
      <mc:Fallback xmlns="">
        <xdr:pic>
          <xdr:nvPicPr>
            <xdr:cNvPr id="8" name="Entrada de lápiz 7">
              <a:extLst>
                <a:ext uri="{FF2B5EF4-FFF2-40B4-BE49-F238E27FC236}">
                  <a16:creationId xmlns:a16="http://schemas.microsoft.com/office/drawing/2014/main" id="{84414DF2-C542-D82D-5FF3-562FF255DE2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38431" y="689660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833192</xdr:colOff>
      <xdr:row>34</xdr:row>
      <xdr:rowOff>101040</xdr:rowOff>
    </xdr:from>
    <xdr:to>
      <xdr:col>4</xdr:col>
      <xdr:colOff>833552</xdr:colOff>
      <xdr:row>34</xdr:row>
      <xdr:rowOff>101400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9" name="Entrada de lápiz 8">
              <a:extLst>
                <a:ext uri="{FF2B5EF4-FFF2-40B4-BE49-F238E27FC236}">
                  <a16:creationId xmlns:a16="http://schemas.microsoft.com/office/drawing/2014/main" id="{004CE55D-381D-482D-0181-0ABFF667C8AA}"/>
                </a:ext>
              </a:extLst>
            </xdr14:cNvPr>
            <xdr14:cNvContentPartPr/>
          </xdr14:nvContentPartPr>
          <xdr14:nvPr macro=""/>
          <xdr14:xfrm>
            <a:off x="3916911" y="7131681"/>
            <a:ext cx="360" cy="360"/>
          </xdr14:xfrm>
        </xdr:contentPart>
      </mc:Choice>
      <mc:Fallback xmlns="">
        <xdr:pic>
          <xdr:nvPicPr>
            <xdr:cNvPr id="9" name="Entrada de lápiz 8">
              <a:extLst>
                <a:ext uri="{FF2B5EF4-FFF2-40B4-BE49-F238E27FC236}">
                  <a16:creationId xmlns:a16="http://schemas.microsoft.com/office/drawing/2014/main" id="{004CE55D-381D-482D-0181-0ABFF667C8A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908271" y="7122681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9525</xdr:rowOff>
    </xdr:from>
    <xdr:to>
      <xdr:col>3</xdr:col>
      <xdr:colOff>285750</xdr:colOff>
      <xdr:row>0</xdr:row>
      <xdr:rowOff>935601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1756CBE5-CBE4-4327-BB02-1C58A16E3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7225" y="9525"/>
          <a:ext cx="971550" cy="926076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9T03:01:43.61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2-09T03:01:44.6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1 0 24575</inkml:trace>
</inkml: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0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5</v>
  </rv>
  <rv s="0">
    <v>1</v>
    <v>5</v>
  </rv>
  <rv s="0">
    <v>2</v>
    <v>5</v>
  </rv>
  <rv s="1">
    <v>3</v>
    <v>5</v>
    <v>Apple con relleno sólido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19"/>
  <sheetViews>
    <sheetView workbookViewId="0">
      <selection activeCell="F5" sqref="F5:H6"/>
    </sheetView>
  </sheetViews>
  <sheetFormatPr baseColWidth="10" defaultRowHeight="15" x14ac:dyDescent="0.25"/>
  <cols>
    <col min="1" max="16384" width="11.42578125" style="8"/>
  </cols>
  <sheetData>
    <row r="2" spans="2:12" ht="15.75" thickBot="1" x14ac:dyDescent="0.3"/>
    <row r="3" spans="2:12" x14ac:dyDescent="0.25">
      <c r="B3" s="76" t="e" vm="1">
        <v>#VALUE!</v>
      </c>
      <c r="C3" s="77"/>
      <c r="D3" s="78"/>
      <c r="J3" s="76" t="e" vm="2">
        <v>#VALUE!</v>
      </c>
      <c r="K3" s="77"/>
      <c r="L3" s="78"/>
    </row>
    <row r="4" spans="2:12" ht="15.75" thickBot="1" x14ac:dyDescent="0.3">
      <c r="B4" s="79"/>
      <c r="C4" s="80"/>
      <c r="D4" s="81"/>
      <c r="J4" s="79"/>
      <c r="K4" s="80"/>
      <c r="L4" s="81"/>
    </row>
    <row r="5" spans="2:12" ht="15.75" customHeight="1" thickTop="1" x14ac:dyDescent="0.25">
      <c r="B5" s="79"/>
      <c r="C5" s="80"/>
      <c r="D5" s="81"/>
      <c r="F5" s="85" t="s">
        <v>36</v>
      </c>
      <c r="G5" s="86"/>
      <c r="H5" s="87"/>
      <c r="J5" s="79"/>
      <c r="K5" s="80"/>
      <c r="L5" s="81"/>
    </row>
    <row r="6" spans="2:12" ht="15" customHeight="1" x14ac:dyDescent="0.25">
      <c r="B6" s="79"/>
      <c r="C6" s="80"/>
      <c r="D6" s="81"/>
      <c r="F6" s="88"/>
      <c r="G6" s="89"/>
      <c r="H6" s="90"/>
      <c r="J6" s="79"/>
      <c r="K6" s="80"/>
      <c r="L6" s="81"/>
    </row>
    <row r="7" spans="2:12" x14ac:dyDescent="0.25">
      <c r="B7" s="79"/>
      <c r="C7" s="80"/>
      <c r="D7" s="81"/>
      <c r="J7" s="79"/>
      <c r="K7" s="80"/>
      <c r="L7" s="81"/>
    </row>
    <row r="8" spans="2:12" x14ac:dyDescent="0.25">
      <c r="B8" s="79"/>
      <c r="C8" s="80"/>
      <c r="D8" s="81"/>
      <c r="J8" s="79"/>
      <c r="K8" s="80"/>
      <c r="L8" s="81"/>
    </row>
    <row r="9" spans="2:12" x14ac:dyDescent="0.25">
      <c r="B9" s="79"/>
      <c r="C9" s="80"/>
      <c r="D9" s="81"/>
      <c r="J9" s="79"/>
      <c r="K9" s="80"/>
      <c r="L9" s="81"/>
    </row>
    <row r="10" spans="2:12" ht="15.75" thickBot="1" x14ac:dyDescent="0.3">
      <c r="B10" s="79"/>
      <c r="C10" s="80"/>
      <c r="D10" s="81"/>
      <c r="J10" s="79"/>
      <c r="K10" s="80"/>
      <c r="L10" s="81"/>
    </row>
    <row r="11" spans="2:12" ht="58.5" customHeight="1" thickTop="1" x14ac:dyDescent="0.25">
      <c r="B11" s="79"/>
      <c r="C11" s="80"/>
      <c r="D11" s="81"/>
      <c r="F11" s="91" t="s">
        <v>37</v>
      </c>
      <c r="G11" s="92"/>
      <c r="H11" s="93"/>
      <c r="J11" s="79"/>
      <c r="K11" s="80"/>
      <c r="L11" s="81"/>
    </row>
    <row r="12" spans="2:12" x14ac:dyDescent="0.25">
      <c r="B12" s="82"/>
      <c r="C12" s="83"/>
      <c r="D12" s="84"/>
      <c r="J12" s="82"/>
      <c r="K12" s="83"/>
      <c r="L12" s="84"/>
    </row>
    <row r="14" spans="2:12" ht="15.75" customHeight="1" x14ac:dyDescent="0.25"/>
    <row r="15" spans="2:12" ht="15" customHeight="1" x14ac:dyDescent="0.25"/>
    <row r="16" spans="2:12" ht="15" customHeight="1" x14ac:dyDescent="0.25"/>
    <row r="19" ht="15.75" customHeight="1" x14ac:dyDescent="0.25"/>
  </sheetData>
  <mergeCells count="4">
    <mergeCell ref="B3:D12"/>
    <mergeCell ref="J3:L12"/>
    <mergeCell ref="F5:H6"/>
    <mergeCell ref="F11:H1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5"/>
  <sheetViews>
    <sheetView topLeftCell="A42" workbookViewId="0">
      <selection activeCell="F58" sqref="F58"/>
    </sheetView>
  </sheetViews>
  <sheetFormatPr baseColWidth="10" defaultRowHeight="15" x14ac:dyDescent="0.25"/>
  <cols>
    <col min="1" max="1" width="14.85546875" style="1" customWidth="1"/>
    <col min="2" max="2" width="3" style="1" customWidth="1"/>
    <col min="3" max="3" width="12.5703125" style="2" customWidth="1"/>
    <col min="4" max="4" width="17.7109375" style="3" bestFit="1" customWidth="1"/>
    <col min="5" max="5" width="10.5703125" style="1" customWidth="1"/>
    <col min="6" max="6" width="22" style="1" customWidth="1"/>
    <col min="7" max="16384" width="11.42578125" style="1"/>
  </cols>
  <sheetData>
    <row r="1" spans="1:9" ht="30" customHeight="1" x14ac:dyDescent="0.25">
      <c r="A1" s="106" t="e" vm="3">
        <v>#VALUE!</v>
      </c>
      <c r="B1" s="107"/>
      <c r="C1" s="107"/>
      <c r="D1" s="112" t="s">
        <v>21</v>
      </c>
      <c r="E1" s="113"/>
      <c r="F1" s="114"/>
      <c r="G1" s="97" t="s">
        <v>30</v>
      </c>
      <c r="H1" s="98"/>
      <c r="I1" s="99"/>
    </row>
    <row r="2" spans="1:9" ht="30" customHeight="1" x14ac:dyDescent="0.25">
      <c r="A2" s="108"/>
      <c r="B2" s="109"/>
      <c r="C2" s="109"/>
      <c r="D2" s="115"/>
      <c r="E2" s="116"/>
      <c r="F2" s="117"/>
      <c r="G2" s="103" t="s">
        <v>31</v>
      </c>
      <c r="H2" s="104"/>
      <c r="I2" s="105"/>
    </row>
    <row r="3" spans="1:9" ht="30" customHeight="1" x14ac:dyDescent="0.25">
      <c r="A3" s="110"/>
      <c r="B3" s="111"/>
      <c r="C3" s="111"/>
      <c r="D3" s="118"/>
      <c r="E3" s="119"/>
      <c r="F3" s="120"/>
      <c r="G3" s="100" t="s">
        <v>32</v>
      </c>
      <c r="H3" s="101"/>
      <c r="I3" s="102"/>
    </row>
    <row r="5" spans="1:9" ht="15" customHeight="1" x14ac:dyDescent="0.25">
      <c r="A5" s="4" t="s">
        <v>22</v>
      </c>
      <c r="B5" s="5" t="s">
        <v>23</v>
      </c>
      <c r="C5" s="121" t="s">
        <v>28</v>
      </c>
      <c r="D5" s="121"/>
      <c r="E5" s="121"/>
      <c r="F5" s="121"/>
      <c r="G5" s="121"/>
      <c r="H5" s="121"/>
      <c r="I5" s="121"/>
    </row>
    <row r="6" spans="1:9" x14ac:dyDescent="0.25">
      <c r="A6" s="4" t="s">
        <v>24</v>
      </c>
      <c r="B6" s="5" t="s">
        <v>23</v>
      </c>
      <c r="C6" s="121" t="s">
        <v>25</v>
      </c>
      <c r="D6" s="121"/>
      <c r="E6" s="121"/>
      <c r="F6" s="121"/>
      <c r="G6" s="121"/>
      <c r="H6" s="121"/>
      <c r="I6" s="121"/>
    </row>
    <row r="7" spans="1:9" ht="36.75" customHeight="1" x14ac:dyDescent="0.25">
      <c r="A7" s="4" t="s">
        <v>26</v>
      </c>
      <c r="B7" s="5" t="s">
        <v>23</v>
      </c>
      <c r="C7" s="121" t="s">
        <v>35</v>
      </c>
      <c r="D7" s="121"/>
      <c r="E7" s="121"/>
      <c r="F7" s="121"/>
      <c r="G7" s="121"/>
      <c r="H7" s="121"/>
      <c r="I7" s="121"/>
    </row>
    <row r="8" spans="1:9" x14ac:dyDescent="0.25">
      <c r="A8" s="4" t="s">
        <v>27</v>
      </c>
      <c r="B8" s="5" t="s">
        <v>23</v>
      </c>
      <c r="C8" s="6"/>
      <c r="D8" s="6"/>
      <c r="E8" s="6"/>
      <c r="F8" s="6"/>
      <c r="G8" s="6"/>
      <c r="H8" s="6"/>
      <c r="I8" s="6"/>
    </row>
    <row r="10" spans="1:9" x14ac:dyDescent="0.25">
      <c r="A10" s="122" t="s">
        <v>29</v>
      </c>
      <c r="B10" s="122"/>
      <c r="C10" s="122"/>
    </row>
    <row r="12" spans="1:9" ht="54" customHeight="1" x14ac:dyDescent="0.25">
      <c r="C12" s="123" t="s">
        <v>39</v>
      </c>
      <c r="D12" s="123"/>
      <c r="E12" s="123"/>
      <c r="F12" s="123"/>
      <c r="G12" s="123"/>
      <c r="H12" s="123"/>
      <c r="I12" s="123"/>
    </row>
    <row r="14" spans="1:9" ht="40.5" customHeight="1" x14ac:dyDescent="0.25">
      <c r="B14" s="7" t="e" vm="4">
        <v>#VALUE!</v>
      </c>
      <c r="C14" s="94" t="s">
        <v>45</v>
      </c>
      <c r="D14" s="95"/>
      <c r="E14" s="95"/>
      <c r="F14" s="95"/>
      <c r="G14" s="95"/>
      <c r="H14" s="95"/>
      <c r="I14" s="96"/>
    </row>
    <row r="16" spans="1:9" ht="34.5" customHeight="1" x14ac:dyDescent="0.25">
      <c r="B16" s="7" t="e" vm="4">
        <v>#VALUE!</v>
      </c>
      <c r="C16" s="94" t="s">
        <v>46</v>
      </c>
      <c r="D16" s="95"/>
      <c r="E16" s="95"/>
      <c r="F16" s="95"/>
      <c r="G16" s="95"/>
      <c r="H16" s="95"/>
      <c r="I16" s="96"/>
    </row>
    <row r="18" spans="2:9" ht="19.5" customHeight="1" x14ac:dyDescent="0.25">
      <c r="B18" s="7" t="e" vm="4">
        <v>#VALUE!</v>
      </c>
      <c r="C18" s="94" t="s">
        <v>48</v>
      </c>
      <c r="D18" s="95"/>
      <c r="E18" s="95"/>
      <c r="F18" s="95"/>
      <c r="G18" s="95"/>
      <c r="H18" s="95"/>
      <c r="I18" s="96"/>
    </row>
    <row r="20" spans="2:9" ht="32.25" customHeight="1" x14ac:dyDescent="0.25">
      <c r="B20" s="7" t="e" vm="4">
        <v>#VALUE!</v>
      </c>
      <c r="C20" s="94" t="s">
        <v>56</v>
      </c>
      <c r="D20" s="95"/>
      <c r="E20" s="95"/>
      <c r="F20" s="95"/>
      <c r="G20" s="95"/>
      <c r="H20" s="95"/>
      <c r="I20" s="96"/>
    </row>
    <row r="22" spans="2:9" x14ac:dyDescent="0.25">
      <c r="B22" s="7" t="e" vm="4">
        <v>#VALUE!</v>
      </c>
      <c r="C22" s="94" t="s">
        <v>120</v>
      </c>
      <c r="D22" s="95"/>
      <c r="E22" s="95"/>
      <c r="F22" s="95"/>
      <c r="G22" s="95"/>
      <c r="H22" s="95"/>
      <c r="I22" s="96"/>
    </row>
    <row r="24" spans="2:9" x14ac:dyDescent="0.25">
      <c r="B24" s="7" t="e" vm="4">
        <v>#VALUE!</v>
      </c>
      <c r="C24" s="94" t="s">
        <v>121</v>
      </c>
      <c r="D24" s="95"/>
      <c r="E24" s="95"/>
      <c r="F24" s="95"/>
      <c r="G24" s="95"/>
      <c r="H24" s="95"/>
      <c r="I24" s="96"/>
    </row>
    <row r="26" spans="2:9" ht="33" customHeight="1" x14ac:dyDescent="0.25">
      <c r="B26" s="7" t="e" vm="4">
        <v>#VALUE!</v>
      </c>
      <c r="C26" s="94" t="s">
        <v>122</v>
      </c>
      <c r="D26" s="95"/>
      <c r="E26" s="95"/>
      <c r="F26" s="95"/>
      <c r="G26" s="95"/>
      <c r="H26" s="95"/>
      <c r="I26" s="96"/>
    </row>
    <row r="28" spans="2:9" x14ac:dyDescent="0.25">
      <c r="B28" s="7" t="e" vm="4">
        <v>#VALUE!</v>
      </c>
      <c r="C28" s="94" t="s">
        <v>40</v>
      </c>
      <c r="D28" s="95"/>
      <c r="E28" s="95"/>
      <c r="F28" s="95"/>
      <c r="G28" s="95"/>
      <c r="H28" s="95"/>
      <c r="I28" s="96"/>
    </row>
    <row r="30" spans="2:9" x14ac:dyDescent="0.25">
      <c r="B30" s="7" t="e" vm="4">
        <v>#VALUE!</v>
      </c>
      <c r="C30" s="94" t="s">
        <v>41</v>
      </c>
      <c r="D30" s="95"/>
      <c r="E30" s="95"/>
      <c r="F30" s="95"/>
      <c r="G30" s="95"/>
      <c r="H30" s="95"/>
      <c r="I30" s="96"/>
    </row>
    <row r="32" spans="2:9" x14ac:dyDescent="0.25">
      <c r="B32" s="7" t="e" vm="4">
        <v>#VALUE!</v>
      </c>
      <c r="C32" s="94" t="s">
        <v>40</v>
      </c>
      <c r="D32" s="95"/>
      <c r="E32" s="95"/>
      <c r="F32" s="95"/>
      <c r="G32" s="95"/>
      <c r="H32" s="95"/>
      <c r="I32" s="96"/>
    </row>
    <row r="34" spans="2:14" x14ac:dyDescent="0.25">
      <c r="B34" s="7" t="e" vm="4">
        <v>#VALUE!</v>
      </c>
      <c r="C34" s="94" t="s">
        <v>123</v>
      </c>
      <c r="D34" s="95"/>
      <c r="E34" s="95"/>
      <c r="F34" s="95"/>
      <c r="G34" s="95"/>
      <c r="H34" s="95"/>
      <c r="I34" s="96"/>
    </row>
    <row r="36" spans="2:14" x14ac:dyDescent="0.25">
      <c r="B36" s="7" t="e" vm="4">
        <v>#VALUE!</v>
      </c>
      <c r="C36" s="94" t="s">
        <v>124</v>
      </c>
      <c r="D36" s="95"/>
      <c r="E36" s="95"/>
      <c r="F36" s="95"/>
      <c r="G36" s="95"/>
      <c r="H36" s="95"/>
      <c r="I36" s="96"/>
    </row>
    <row r="39" spans="2:14" x14ac:dyDescent="0.25">
      <c r="D39" s="66" t="s">
        <v>33</v>
      </c>
      <c r="E39" s="66" t="s">
        <v>34</v>
      </c>
      <c r="F39" s="67"/>
    </row>
    <row r="41" spans="2:14" ht="63.75" x14ac:dyDescent="0.25">
      <c r="C41" s="21" t="s">
        <v>10</v>
      </c>
      <c r="D41" s="21" t="s">
        <v>0</v>
      </c>
      <c r="E41" s="21" t="s">
        <v>99</v>
      </c>
      <c r="F41" s="21" t="s">
        <v>1</v>
      </c>
      <c r="G41" s="21" t="s">
        <v>6</v>
      </c>
      <c r="H41" s="21" t="s">
        <v>9</v>
      </c>
      <c r="I41" s="21" t="s">
        <v>8</v>
      </c>
      <c r="J41" s="22" t="s">
        <v>2</v>
      </c>
      <c r="K41" s="22" t="s">
        <v>42</v>
      </c>
      <c r="L41" s="22" t="s">
        <v>44</v>
      </c>
      <c r="M41" s="22" t="s">
        <v>43</v>
      </c>
      <c r="N41" s="51" t="s">
        <v>47</v>
      </c>
    </row>
    <row r="42" spans="2:14" x14ac:dyDescent="0.25">
      <c r="C42" s="23">
        <v>1</v>
      </c>
      <c r="D42" s="24" t="s">
        <v>7</v>
      </c>
      <c r="E42" s="32" t="s">
        <v>100</v>
      </c>
      <c r="F42" s="25" t="s">
        <v>20</v>
      </c>
      <c r="G42" s="26">
        <v>39447</v>
      </c>
      <c r="H42" s="26">
        <v>45355</v>
      </c>
      <c r="I42" s="27">
        <f>(H42-G42)/365</f>
        <v>16.186301369863013</v>
      </c>
      <c r="J42" s="28">
        <v>1500</v>
      </c>
      <c r="K42" s="23">
        <v>0</v>
      </c>
      <c r="L42" s="23">
        <v>0</v>
      </c>
      <c r="M42" s="23">
        <v>0</v>
      </c>
      <c r="N42" s="52">
        <v>30</v>
      </c>
    </row>
    <row r="43" spans="2:14" x14ac:dyDescent="0.25">
      <c r="C43" s="23">
        <f>1+C42</f>
        <v>2</v>
      </c>
      <c r="D43" s="24" t="s">
        <v>11</v>
      </c>
      <c r="E43" s="32" t="s">
        <v>101</v>
      </c>
      <c r="F43" s="25" t="s">
        <v>12</v>
      </c>
      <c r="G43" s="26">
        <v>42037</v>
      </c>
      <c r="H43" s="26">
        <v>45382</v>
      </c>
      <c r="I43" s="27">
        <f t="shared" ref="I43:I53" si="0">(H43-G43)/365</f>
        <v>9.1643835616438363</v>
      </c>
      <c r="J43" s="28">
        <v>450</v>
      </c>
      <c r="K43" s="23">
        <v>0</v>
      </c>
      <c r="L43" s="23">
        <v>0</v>
      </c>
      <c r="M43" s="23">
        <v>0</v>
      </c>
      <c r="N43" s="52">
        <v>30</v>
      </c>
    </row>
    <row r="44" spans="2:14" x14ac:dyDescent="0.25">
      <c r="C44" s="23">
        <f t="shared" ref="C44:C45" si="1">1+C43</f>
        <v>3</v>
      </c>
      <c r="D44" s="24" t="s">
        <v>13</v>
      </c>
      <c r="E44" s="32" t="s">
        <v>103</v>
      </c>
      <c r="F44" s="25" t="s">
        <v>5</v>
      </c>
      <c r="G44" s="26">
        <v>43437</v>
      </c>
      <c r="H44" s="26">
        <f t="shared" ref="H44:H45" si="2">+H43</f>
        <v>45382</v>
      </c>
      <c r="I44" s="27">
        <f t="shared" si="0"/>
        <v>5.3287671232876717</v>
      </c>
      <c r="J44" s="28">
        <v>800</v>
      </c>
      <c r="K44" s="23">
        <v>0</v>
      </c>
      <c r="L44" s="23">
        <v>0</v>
      </c>
      <c r="M44" s="23">
        <v>0</v>
      </c>
      <c r="N44" s="52">
        <v>30</v>
      </c>
    </row>
    <row r="45" spans="2:14" x14ac:dyDescent="0.25">
      <c r="C45" s="23">
        <f t="shared" si="1"/>
        <v>4</v>
      </c>
      <c r="D45" s="31" t="s">
        <v>14</v>
      </c>
      <c r="E45" s="60" t="s">
        <v>102</v>
      </c>
      <c r="F45" s="32" t="s">
        <v>15</v>
      </c>
      <c r="G45" s="33">
        <v>44046</v>
      </c>
      <c r="H45" s="26">
        <f t="shared" si="2"/>
        <v>45382</v>
      </c>
      <c r="I45" s="27">
        <f t="shared" si="0"/>
        <v>3.6602739726027398</v>
      </c>
      <c r="J45" s="28">
        <v>800</v>
      </c>
      <c r="K45" s="23">
        <v>0</v>
      </c>
      <c r="L45" s="23">
        <v>0</v>
      </c>
      <c r="M45" s="23">
        <v>0</v>
      </c>
      <c r="N45" s="52">
        <v>30</v>
      </c>
    </row>
    <row r="46" spans="2:14" x14ac:dyDescent="0.25">
      <c r="C46" s="23"/>
      <c r="D46" s="24"/>
      <c r="E46" s="32"/>
      <c r="F46" s="34"/>
      <c r="G46" s="35"/>
      <c r="H46" s="35"/>
      <c r="I46" s="36" t="s">
        <v>3</v>
      </c>
      <c r="J46" s="37">
        <f>SUM(J42:J45)</f>
        <v>3550</v>
      </c>
      <c r="K46" s="42"/>
      <c r="L46" s="42"/>
      <c r="M46" s="42"/>
      <c r="N46" s="53"/>
    </row>
    <row r="47" spans="2:14" x14ac:dyDescent="0.25">
      <c r="C47" s="23">
        <f>+C45+1</f>
        <v>5</v>
      </c>
      <c r="D47" s="24" t="s">
        <v>16</v>
      </c>
      <c r="E47" s="32" t="s">
        <v>104</v>
      </c>
      <c r="F47" s="32" t="s">
        <v>17</v>
      </c>
      <c r="G47" s="33">
        <v>43655</v>
      </c>
      <c r="H47" s="33">
        <f>+H45</f>
        <v>45382</v>
      </c>
      <c r="I47" s="27">
        <f t="shared" si="0"/>
        <v>4.7315068493150685</v>
      </c>
      <c r="J47" s="28">
        <v>650</v>
      </c>
      <c r="K47" s="23">
        <v>45</v>
      </c>
      <c r="L47" s="23">
        <v>25</v>
      </c>
      <c r="M47" s="23">
        <f>39*2</f>
        <v>78</v>
      </c>
      <c r="N47" s="52">
        <v>30</v>
      </c>
    </row>
    <row r="48" spans="2:14" x14ac:dyDescent="0.25">
      <c r="C48" s="23">
        <f>+C47+1</f>
        <v>6</v>
      </c>
      <c r="D48" s="24" t="s">
        <v>16</v>
      </c>
      <c r="E48" s="32" t="s">
        <v>105</v>
      </c>
      <c r="F48" s="32" t="s">
        <v>112</v>
      </c>
      <c r="G48" s="33">
        <v>41883</v>
      </c>
      <c r="H48" s="33">
        <f>+H47</f>
        <v>45382</v>
      </c>
      <c r="I48" s="27">
        <f t="shared" si="0"/>
        <v>9.5863013698630137</v>
      </c>
      <c r="J48" s="28">
        <v>435</v>
      </c>
      <c r="K48" s="23">
        <v>65</v>
      </c>
      <c r="L48" s="23">
        <v>5</v>
      </c>
      <c r="M48" s="23">
        <v>14</v>
      </c>
      <c r="N48" s="52">
        <v>30</v>
      </c>
    </row>
    <row r="49" spans="3:14" x14ac:dyDescent="0.25">
      <c r="C49" s="23">
        <f t="shared" ref="C49:C53" si="3">+C48+1</f>
        <v>7</v>
      </c>
      <c r="D49" s="24" t="s">
        <v>16</v>
      </c>
      <c r="E49" s="32" t="s">
        <v>106</v>
      </c>
      <c r="F49" s="32" t="s">
        <v>113</v>
      </c>
      <c r="G49" s="33">
        <v>44197</v>
      </c>
      <c r="H49" s="33">
        <f t="shared" ref="H49:H51" si="4">+H48</f>
        <v>45382</v>
      </c>
      <c r="I49" s="27">
        <f t="shared" si="0"/>
        <v>3.2465753424657535</v>
      </c>
      <c r="J49" s="28">
        <v>390</v>
      </c>
      <c r="K49" s="23">
        <v>35</v>
      </c>
      <c r="L49" s="23">
        <v>25</v>
      </c>
      <c r="M49" s="23">
        <v>78</v>
      </c>
      <c r="N49" s="52">
        <v>30</v>
      </c>
    </row>
    <row r="50" spans="3:14" x14ac:dyDescent="0.25">
      <c r="C50" s="23">
        <f t="shared" si="3"/>
        <v>8</v>
      </c>
      <c r="D50" s="24" t="s">
        <v>16</v>
      </c>
      <c r="E50" s="32" t="s">
        <v>107</v>
      </c>
      <c r="F50" s="32" t="s">
        <v>114</v>
      </c>
      <c r="G50" s="33">
        <v>44896</v>
      </c>
      <c r="H50" s="33">
        <f t="shared" si="4"/>
        <v>45382</v>
      </c>
      <c r="I50" s="27">
        <f t="shared" si="0"/>
        <v>1.3315068493150686</v>
      </c>
      <c r="J50" s="28">
        <v>365</v>
      </c>
      <c r="K50" s="23">
        <v>25</v>
      </c>
      <c r="L50" s="23">
        <v>35</v>
      </c>
      <c r="M50" s="23">
        <v>39</v>
      </c>
      <c r="N50" s="52">
        <v>30</v>
      </c>
    </row>
    <row r="51" spans="3:14" x14ac:dyDescent="0.25">
      <c r="C51" s="23">
        <f t="shared" si="3"/>
        <v>9</v>
      </c>
      <c r="D51" s="24" t="s">
        <v>16</v>
      </c>
      <c r="E51" s="32" t="s">
        <v>108</v>
      </c>
      <c r="F51" s="32" t="s">
        <v>115</v>
      </c>
      <c r="G51" s="33">
        <v>43815</v>
      </c>
      <c r="H51" s="33">
        <f t="shared" si="4"/>
        <v>45382</v>
      </c>
      <c r="I51" s="27">
        <f t="shared" si="0"/>
        <v>4.2931506849315069</v>
      </c>
      <c r="J51" s="28">
        <v>415</v>
      </c>
      <c r="K51" s="23">
        <v>12</v>
      </c>
      <c r="L51" s="23">
        <v>20</v>
      </c>
      <c r="M51" s="23">
        <v>39</v>
      </c>
      <c r="N51" s="52">
        <v>30</v>
      </c>
    </row>
    <row r="52" spans="3:14" x14ac:dyDescent="0.25">
      <c r="C52" s="23">
        <f t="shared" si="3"/>
        <v>10</v>
      </c>
      <c r="D52" s="24" t="s">
        <v>16</v>
      </c>
      <c r="E52" s="32" t="s">
        <v>109</v>
      </c>
      <c r="F52" s="32" t="s">
        <v>18</v>
      </c>
      <c r="G52" s="33">
        <v>43435</v>
      </c>
      <c r="H52" s="38">
        <f t="shared" ref="H52:H53" si="5">+H47</f>
        <v>45382</v>
      </c>
      <c r="I52" s="27">
        <f t="shared" si="0"/>
        <v>5.3342465753424655</v>
      </c>
      <c r="J52" s="28">
        <v>450</v>
      </c>
      <c r="K52" s="23">
        <v>19</v>
      </c>
      <c r="L52" s="23">
        <v>25</v>
      </c>
      <c r="M52" s="23">
        <f>39*4</f>
        <v>156</v>
      </c>
      <c r="N52" s="52">
        <v>30</v>
      </c>
    </row>
    <row r="53" spans="3:14" x14ac:dyDescent="0.25">
      <c r="C53" s="23">
        <f t="shared" si="3"/>
        <v>11</v>
      </c>
      <c r="D53" s="24" t="s">
        <v>16</v>
      </c>
      <c r="E53" s="32" t="s">
        <v>110</v>
      </c>
      <c r="F53" s="32" t="s">
        <v>19</v>
      </c>
      <c r="G53" s="33">
        <v>45170</v>
      </c>
      <c r="H53" s="38">
        <f t="shared" si="5"/>
        <v>45382</v>
      </c>
      <c r="I53" s="27">
        <f t="shared" si="0"/>
        <v>0.58082191780821912</v>
      </c>
      <c r="J53" s="28">
        <v>425</v>
      </c>
      <c r="K53" s="23">
        <v>44</v>
      </c>
      <c r="L53" s="23">
        <v>33</v>
      </c>
      <c r="M53" s="23">
        <v>0</v>
      </c>
      <c r="N53" s="52">
        <v>30</v>
      </c>
    </row>
    <row r="54" spans="3:14" x14ac:dyDescent="0.25">
      <c r="C54" s="67"/>
      <c r="D54" s="67"/>
      <c r="E54" s="67"/>
      <c r="F54" s="68"/>
      <c r="G54" s="69"/>
      <c r="H54" s="69"/>
      <c r="I54" s="70" t="s">
        <v>3</v>
      </c>
      <c r="J54" s="71">
        <f t="shared" ref="J54" si="6">SUM(J47:J53)</f>
        <v>3130</v>
      </c>
      <c r="K54" s="71"/>
      <c r="L54" s="71"/>
      <c r="M54" s="71"/>
      <c r="N54" s="71"/>
    </row>
    <row r="55" spans="3:14" x14ac:dyDescent="0.25">
      <c r="C55" s="67"/>
      <c r="D55" s="67"/>
      <c r="E55" s="67"/>
      <c r="F55" s="67"/>
      <c r="G55" s="69"/>
      <c r="H55" s="67"/>
      <c r="I55" s="70" t="s">
        <v>4</v>
      </c>
      <c r="J55" s="72">
        <f>+J46+J54</f>
        <v>6680</v>
      </c>
      <c r="K55" s="72"/>
      <c r="L55" s="72"/>
      <c r="M55" s="72"/>
      <c r="N55" s="72"/>
    </row>
  </sheetData>
  <mergeCells count="22">
    <mergeCell ref="C34:I34"/>
    <mergeCell ref="C36:I36"/>
    <mergeCell ref="C24:I24"/>
    <mergeCell ref="C26:I26"/>
    <mergeCell ref="C28:I28"/>
    <mergeCell ref="C30:I30"/>
    <mergeCell ref="C32:I32"/>
    <mergeCell ref="C16:I16"/>
    <mergeCell ref="C18:I18"/>
    <mergeCell ref="C20:I20"/>
    <mergeCell ref="C22:I22"/>
    <mergeCell ref="G1:I1"/>
    <mergeCell ref="G3:I3"/>
    <mergeCell ref="G2:I2"/>
    <mergeCell ref="A1:C3"/>
    <mergeCell ref="D1:F3"/>
    <mergeCell ref="C5:I5"/>
    <mergeCell ref="C6:I6"/>
    <mergeCell ref="C7:I7"/>
    <mergeCell ref="A10:C10"/>
    <mergeCell ref="C12:I12"/>
    <mergeCell ref="C14:I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43"/>
  <sheetViews>
    <sheetView tabSelected="1" zoomScaleNormal="100" workbookViewId="0">
      <selection activeCell="F8" sqref="F8"/>
    </sheetView>
  </sheetViews>
  <sheetFormatPr baseColWidth="10" defaultRowHeight="15" x14ac:dyDescent="0.25"/>
  <cols>
    <col min="1" max="1" width="3.140625" style="8" bestFit="1" customWidth="1"/>
    <col min="2" max="2" width="15" style="8" customWidth="1"/>
    <col min="3" max="3" width="7.140625" style="8" bestFit="1" customWidth="1"/>
    <col min="4" max="4" width="22.42578125" style="8" customWidth="1"/>
    <col min="5" max="5" width="13.5703125" style="8" bestFit="1" customWidth="1"/>
    <col min="6" max="6" width="12.28515625" style="8" customWidth="1"/>
    <col min="7" max="7" width="11.5703125" style="8" customWidth="1"/>
    <col min="8" max="11" width="11.42578125" style="8"/>
    <col min="12" max="18" width="12.7109375" style="8" customWidth="1"/>
    <col min="19" max="19" width="12.28515625" style="8" bestFit="1" customWidth="1"/>
    <col min="20" max="20" width="12.7109375" style="8" customWidth="1"/>
    <col min="21" max="22" width="12.5703125" style="8" customWidth="1"/>
    <col min="23" max="23" width="12.28515625" style="8" bestFit="1" customWidth="1"/>
    <col min="24" max="24" width="12.28515625" style="8" customWidth="1"/>
    <col min="25" max="25" width="11.5703125" style="8" customWidth="1"/>
    <col min="26" max="26" width="10.5703125" style="8" bestFit="1" customWidth="1"/>
    <col min="27" max="16384" width="11.42578125" style="8"/>
  </cols>
  <sheetData>
    <row r="1" spans="1:30" ht="14.25" customHeight="1" x14ac:dyDescent="0.25">
      <c r="E1" s="50">
        <v>45657</v>
      </c>
      <c r="F1" s="14">
        <f>MONTH(E1)</f>
        <v>12</v>
      </c>
    </row>
    <row r="2" spans="1:30" ht="14.25" customHeight="1" x14ac:dyDescent="0.25"/>
    <row r="3" spans="1:30" x14ac:dyDescent="0.25">
      <c r="E3" s="66" t="s">
        <v>33</v>
      </c>
      <c r="F3" s="66" t="s">
        <v>34</v>
      </c>
      <c r="G3" s="67"/>
    </row>
    <row r="4" spans="1:30" s="49" customFormat="1" x14ac:dyDescent="0.25">
      <c r="U4" s="10">
        <v>7.4999999999999997E-2</v>
      </c>
      <c r="V4" s="10">
        <v>0.03</v>
      </c>
      <c r="W4" s="10">
        <v>8.7499999999999994E-2</v>
      </c>
      <c r="X4" s="10">
        <v>7.2499999999999995E-2</v>
      </c>
      <c r="Y4" s="10">
        <v>7.4999999999999997E-2</v>
      </c>
      <c r="Z4" s="10">
        <v>8.7499999999999994E-2</v>
      </c>
      <c r="AD4" s="49" t="s">
        <v>125</v>
      </c>
    </row>
    <row r="5" spans="1:30" ht="28.5" x14ac:dyDescent="0.25">
      <c r="B5" s="124" t="s">
        <v>38</v>
      </c>
      <c r="C5" s="124"/>
      <c r="D5" s="124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</row>
    <row r="6" spans="1:30" ht="51" x14ac:dyDescent="0.25">
      <c r="A6" s="21" t="s">
        <v>10</v>
      </c>
      <c r="B6" s="21" t="s">
        <v>0</v>
      </c>
      <c r="C6" s="21" t="s">
        <v>99</v>
      </c>
      <c r="D6" s="21" t="s">
        <v>1</v>
      </c>
      <c r="E6" s="21" t="s">
        <v>6</v>
      </c>
      <c r="F6" s="21" t="s">
        <v>9</v>
      </c>
      <c r="G6" s="21" t="s">
        <v>8</v>
      </c>
      <c r="H6" s="22" t="s">
        <v>2</v>
      </c>
      <c r="I6" s="22" t="s">
        <v>42</v>
      </c>
      <c r="J6" s="22" t="s">
        <v>44</v>
      </c>
      <c r="K6" s="22" t="s">
        <v>43</v>
      </c>
      <c r="L6" s="51" t="s">
        <v>47</v>
      </c>
      <c r="M6" s="22" t="s">
        <v>53</v>
      </c>
      <c r="N6" s="22" t="s">
        <v>51</v>
      </c>
      <c r="O6" s="22" t="s">
        <v>52</v>
      </c>
      <c r="P6" s="21" t="s">
        <v>49</v>
      </c>
      <c r="Q6" s="61" t="s">
        <v>118</v>
      </c>
      <c r="R6" s="21" t="s">
        <v>57</v>
      </c>
      <c r="S6" s="21" t="s">
        <v>58</v>
      </c>
      <c r="T6" s="48" t="s">
        <v>50</v>
      </c>
      <c r="U6" s="21" t="s">
        <v>54</v>
      </c>
      <c r="V6" s="21" t="s">
        <v>55</v>
      </c>
      <c r="W6" s="22" t="s">
        <v>59</v>
      </c>
      <c r="X6" s="22" t="s">
        <v>60</v>
      </c>
      <c r="Y6" s="54" t="s">
        <v>61</v>
      </c>
      <c r="Z6" s="55" t="s">
        <v>62</v>
      </c>
      <c r="AD6" s="22" t="s">
        <v>116</v>
      </c>
    </row>
    <row r="7" spans="1:30" x14ac:dyDescent="0.25">
      <c r="A7" s="23">
        <v>1</v>
      </c>
      <c r="B7" s="24" t="s">
        <v>7</v>
      </c>
      <c r="C7" s="32" t="s">
        <v>100</v>
      </c>
      <c r="D7" s="25" t="s">
        <v>20</v>
      </c>
      <c r="E7" s="26">
        <v>39447</v>
      </c>
      <c r="F7" s="26">
        <v>46022</v>
      </c>
      <c r="G7" s="27">
        <f>(F7-E7)/365</f>
        <v>18.013698630136986</v>
      </c>
      <c r="H7" s="28">
        <v>1500</v>
      </c>
      <c r="I7" s="23">
        <v>0</v>
      </c>
      <c r="J7" s="23">
        <v>0</v>
      </c>
      <c r="K7" s="23">
        <v>0</v>
      </c>
      <c r="L7" s="52">
        <v>30</v>
      </c>
      <c r="M7" s="43"/>
      <c r="N7" s="43"/>
      <c r="O7" s="43"/>
      <c r="P7" s="30"/>
      <c r="Q7" s="62"/>
      <c r="R7" s="30">
        <f>+Q7-S7</f>
        <v>0</v>
      </c>
      <c r="S7" s="30">
        <f>IF(Q7&gt;=1200,(Q7-1200),0)</f>
        <v>0</v>
      </c>
      <c r="T7" s="44"/>
      <c r="U7" s="29"/>
      <c r="V7" s="29"/>
      <c r="W7" s="29"/>
      <c r="X7" s="29"/>
      <c r="Y7" s="56"/>
      <c r="Z7" s="56"/>
      <c r="AD7" s="43">
        <f t="shared" ref="AD7:AD20" si="0">+M7+N7</f>
        <v>0</v>
      </c>
    </row>
    <row r="8" spans="1:30" x14ac:dyDescent="0.25">
      <c r="A8" s="23">
        <f>1+A7</f>
        <v>2</v>
      </c>
      <c r="B8" s="24" t="s">
        <v>11</v>
      </c>
      <c r="C8" s="32" t="s">
        <v>101</v>
      </c>
      <c r="D8" s="25" t="s">
        <v>12</v>
      </c>
      <c r="E8" s="26">
        <v>42037</v>
      </c>
      <c r="F8" s="26">
        <v>46022</v>
      </c>
      <c r="G8" s="27">
        <f t="shared" ref="G8:G18" si="1">(F8-E8)/365</f>
        <v>10.917808219178083</v>
      </c>
      <c r="H8" s="28">
        <v>450</v>
      </c>
      <c r="I8" s="23">
        <v>0</v>
      </c>
      <c r="J8" s="23">
        <v>0</v>
      </c>
      <c r="K8" s="23">
        <v>0</v>
      </c>
      <c r="L8" s="52">
        <v>30</v>
      </c>
      <c r="M8" s="43"/>
      <c r="N8" s="43"/>
      <c r="O8" s="43"/>
      <c r="P8" s="30"/>
      <c r="Q8" s="62"/>
      <c r="R8" s="30">
        <f t="shared" ref="R8:R18" si="2">+Q8-S8</f>
        <v>0</v>
      </c>
      <c r="S8" s="30">
        <f t="shared" ref="S8:S10" si="3">IF(Q8&gt;=1200,(1200-Q8),0)</f>
        <v>0</v>
      </c>
      <c r="T8" s="44"/>
      <c r="U8" s="29"/>
      <c r="V8" s="29"/>
      <c r="W8" s="29"/>
      <c r="X8" s="29"/>
      <c r="Y8" s="56"/>
      <c r="Z8" s="56"/>
      <c r="AD8" s="43">
        <f t="shared" si="0"/>
        <v>0</v>
      </c>
    </row>
    <row r="9" spans="1:30" x14ac:dyDescent="0.25">
      <c r="A9" s="23">
        <f t="shared" ref="A9:A10" si="4">1+A8</f>
        <v>3</v>
      </c>
      <c r="B9" s="24" t="s">
        <v>13</v>
      </c>
      <c r="C9" s="32" t="s">
        <v>103</v>
      </c>
      <c r="D9" s="25" t="s">
        <v>5</v>
      </c>
      <c r="E9" s="26">
        <v>43437</v>
      </c>
      <c r="F9" s="26">
        <v>46022</v>
      </c>
      <c r="G9" s="27">
        <f t="shared" si="1"/>
        <v>7.0821917808219181</v>
      </c>
      <c r="H9" s="28">
        <v>900</v>
      </c>
      <c r="I9" s="23">
        <v>0</v>
      </c>
      <c r="J9" s="23">
        <v>0</v>
      </c>
      <c r="K9" s="23">
        <v>0</v>
      </c>
      <c r="L9" s="52">
        <v>30</v>
      </c>
      <c r="M9" s="43"/>
      <c r="N9" s="43"/>
      <c r="O9" s="43"/>
      <c r="P9" s="30"/>
      <c r="Q9" s="62"/>
      <c r="R9" s="30">
        <f t="shared" si="2"/>
        <v>0</v>
      </c>
      <c r="S9" s="30">
        <f t="shared" si="3"/>
        <v>0</v>
      </c>
      <c r="T9" s="44"/>
      <c r="U9" s="29"/>
      <c r="V9" s="29"/>
      <c r="W9" s="29"/>
      <c r="X9" s="29"/>
      <c r="Y9" s="56"/>
      <c r="Z9" s="56"/>
      <c r="AD9" s="43">
        <f t="shared" si="0"/>
        <v>0</v>
      </c>
    </row>
    <row r="10" spans="1:30" s="11" customFormat="1" x14ac:dyDescent="0.25">
      <c r="A10" s="23">
        <f t="shared" si="4"/>
        <v>4</v>
      </c>
      <c r="B10" s="31" t="s">
        <v>126</v>
      </c>
      <c r="C10" s="60" t="s">
        <v>102</v>
      </c>
      <c r="D10" s="32" t="s">
        <v>15</v>
      </c>
      <c r="E10" s="33">
        <v>44046</v>
      </c>
      <c r="F10" s="26">
        <v>46022</v>
      </c>
      <c r="G10" s="27">
        <f t="shared" si="1"/>
        <v>5.4136986301369863</v>
      </c>
      <c r="H10" s="28">
        <v>1100</v>
      </c>
      <c r="I10" s="23">
        <v>0</v>
      </c>
      <c r="J10" s="23">
        <v>0</v>
      </c>
      <c r="K10" s="23">
        <v>0</v>
      </c>
      <c r="L10" s="52">
        <v>30</v>
      </c>
      <c r="M10" s="43"/>
      <c r="N10" s="43"/>
      <c r="O10" s="43"/>
      <c r="P10" s="30"/>
      <c r="Q10" s="62"/>
      <c r="R10" s="30">
        <f t="shared" si="2"/>
        <v>0</v>
      </c>
      <c r="S10" s="30">
        <f t="shared" si="3"/>
        <v>0</v>
      </c>
      <c r="T10" s="44"/>
      <c r="U10" s="29"/>
      <c r="V10" s="29"/>
      <c r="W10" s="29"/>
      <c r="X10" s="29"/>
      <c r="Y10" s="56"/>
      <c r="Z10" s="56"/>
      <c r="AD10" s="43">
        <f t="shared" si="0"/>
        <v>0</v>
      </c>
    </row>
    <row r="11" spans="1:30" x14ac:dyDescent="0.25">
      <c r="A11" s="23"/>
      <c r="B11" s="24"/>
      <c r="C11" s="32"/>
      <c r="D11" s="34"/>
      <c r="E11" s="35"/>
      <c r="F11" s="35"/>
      <c r="G11" s="36" t="s">
        <v>3</v>
      </c>
      <c r="H11" s="37">
        <f>SUM(H7:H10)</f>
        <v>3950</v>
      </c>
      <c r="I11" s="42"/>
      <c r="J11" s="42"/>
      <c r="K11" s="42"/>
      <c r="L11" s="53"/>
      <c r="M11" s="37">
        <f t="shared" ref="M11:O11" si="5">SUM(M7:M10)</f>
        <v>0</v>
      </c>
      <c r="N11" s="37">
        <f t="shared" si="5"/>
        <v>0</v>
      </c>
      <c r="O11" s="37">
        <f t="shared" si="5"/>
        <v>0</v>
      </c>
      <c r="P11" s="37">
        <f>SUM(P7:P10)</f>
        <v>0</v>
      </c>
      <c r="Q11" s="63">
        <f>SUM(Q7:Q10)</f>
        <v>0</v>
      </c>
      <c r="R11" s="37">
        <f>SUM(R7:R10)</f>
        <v>0</v>
      </c>
      <c r="S11" s="37">
        <f>SUM(S7:S10)</f>
        <v>0</v>
      </c>
      <c r="T11" s="45">
        <f>SUM(T7:T10)</f>
        <v>0</v>
      </c>
      <c r="U11" s="37">
        <f t="shared" ref="U11:Y11" si="6">SUM(U7:U10)</f>
        <v>0</v>
      </c>
      <c r="V11" s="37">
        <f t="shared" si="6"/>
        <v>0</v>
      </c>
      <c r="W11" s="37">
        <f t="shared" si="6"/>
        <v>0</v>
      </c>
      <c r="X11" s="37">
        <f t="shared" ref="X11" si="7">SUM(X7:X10)</f>
        <v>0</v>
      </c>
      <c r="Y11" s="57">
        <f t="shared" si="6"/>
        <v>0</v>
      </c>
      <c r="Z11" s="57">
        <f>SUM(Z7:Z10)</f>
        <v>0</v>
      </c>
      <c r="AD11" s="43">
        <f t="shared" si="0"/>
        <v>0</v>
      </c>
    </row>
    <row r="12" spans="1:30" x14ac:dyDescent="0.25">
      <c r="A12" s="23">
        <f>+A10+1</f>
        <v>5</v>
      </c>
      <c r="B12" s="24" t="s">
        <v>16</v>
      </c>
      <c r="C12" s="32" t="s">
        <v>104</v>
      </c>
      <c r="D12" s="32" t="s">
        <v>17</v>
      </c>
      <c r="E12" s="33">
        <v>43655</v>
      </c>
      <c r="F12" s="33">
        <f>+F10</f>
        <v>46022</v>
      </c>
      <c r="G12" s="27">
        <f t="shared" si="1"/>
        <v>6.484931506849315</v>
      </c>
      <c r="H12" s="28">
        <v>650</v>
      </c>
      <c r="I12" s="23">
        <v>45</v>
      </c>
      <c r="J12" s="23">
        <v>25</v>
      </c>
      <c r="K12" s="23">
        <f>39*2</f>
        <v>78</v>
      </c>
      <c r="L12" s="52">
        <v>30</v>
      </c>
      <c r="M12" s="43"/>
      <c r="N12" s="43"/>
      <c r="O12" s="43"/>
      <c r="P12" s="30"/>
      <c r="Q12" s="62"/>
      <c r="R12" s="30">
        <f t="shared" si="2"/>
        <v>0</v>
      </c>
      <c r="S12" s="30">
        <f t="shared" ref="S12:S18" si="8">IF(Q12&gt;=1200,(1200-Q12),0)</f>
        <v>0</v>
      </c>
      <c r="T12" s="44"/>
      <c r="U12" s="29"/>
      <c r="V12" s="29"/>
      <c r="W12" s="29"/>
      <c r="X12" s="29"/>
      <c r="Y12" s="56"/>
      <c r="Z12" s="56">
        <f t="shared" ref="Z12:Z18" si="9">+U12+V12+W12+X12</f>
        <v>0</v>
      </c>
      <c r="AD12" s="43">
        <f t="shared" si="0"/>
        <v>0</v>
      </c>
    </row>
    <row r="13" spans="1:30" x14ac:dyDescent="0.25">
      <c r="A13" s="23">
        <f>+A12+1</f>
        <v>6</v>
      </c>
      <c r="B13" s="24" t="s">
        <v>16</v>
      </c>
      <c r="C13" s="32" t="s">
        <v>105</v>
      </c>
      <c r="D13" s="32" t="s">
        <v>112</v>
      </c>
      <c r="E13" s="33">
        <v>41883</v>
      </c>
      <c r="F13" s="33">
        <f>+F12</f>
        <v>46022</v>
      </c>
      <c r="G13" s="27">
        <f t="shared" si="1"/>
        <v>11.33972602739726</v>
      </c>
      <c r="H13" s="28">
        <v>435</v>
      </c>
      <c r="I13" s="23">
        <v>65</v>
      </c>
      <c r="J13" s="23">
        <v>5</v>
      </c>
      <c r="K13" s="23">
        <v>14</v>
      </c>
      <c r="L13" s="52">
        <v>30</v>
      </c>
      <c r="M13" s="43"/>
      <c r="N13" s="43"/>
      <c r="O13" s="43"/>
      <c r="P13" s="30"/>
      <c r="Q13" s="62"/>
      <c r="R13" s="30">
        <f t="shared" si="2"/>
        <v>0</v>
      </c>
      <c r="S13" s="30">
        <f t="shared" si="8"/>
        <v>0</v>
      </c>
      <c r="T13" s="44"/>
      <c r="U13" s="29"/>
      <c r="V13" s="29"/>
      <c r="W13" s="29"/>
      <c r="X13" s="29"/>
      <c r="Y13" s="56"/>
      <c r="Z13" s="56">
        <f t="shared" si="9"/>
        <v>0</v>
      </c>
      <c r="AD13" s="43">
        <f t="shared" si="0"/>
        <v>0</v>
      </c>
    </row>
    <row r="14" spans="1:30" x14ac:dyDescent="0.25">
      <c r="A14" s="23">
        <f t="shared" ref="A14:A17" si="10">+A13+1</f>
        <v>7</v>
      </c>
      <c r="B14" s="24" t="s">
        <v>16</v>
      </c>
      <c r="C14" s="32" t="s">
        <v>106</v>
      </c>
      <c r="D14" s="32" t="s">
        <v>113</v>
      </c>
      <c r="E14" s="33">
        <v>44197</v>
      </c>
      <c r="F14" s="33">
        <f t="shared" ref="F14:F16" si="11">+F13</f>
        <v>46022</v>
      </c>
      <c r="G14" s="27">
        <f t="shared" si="1"/>
        <v>5</v>
      </c>
      <c r="H14" s="28">
        <v>390</v>
      </c>
      <c r="I14" s="23">
        <v>35</v>
      </c>
      <c r="J14" s="23">
        <v>25</v>
      </c>
      <c r="K14" s="23">
        <v>78</v>
      </c>
      <c r="L14" s="52">
        <v>30</v>
      </c>
      <c r="M14" s="43"/>
      <c r="N14" s="43"/>
      <c r="O14" s="43"/>
      <c r="P14" s="30"/>
      <c r="Q14" s="62"/>
      <c r="R14" s="30">
        <f t="shared" si="2"/>
        <v>0</v>
      </c>
      <c r="S14" s="30">
        <f t="shared" si="8"/>
        <v>0</v>
      </c>
      <c r="T14" s="44"/>
      <c r="U14" s="29"/>
      <c r="V14" s="29"/>
      <c r="W14" s="29"/>
      <c r="X14" s="29"/>
      <c r="Y14" s="56"/>
      <c r="Z14" s="56">
        <f t="shared" si="9"/>
        <v>0</v>
      </c>
      <c r="AD14" s="43">
        <f t="shared" si="0"/>
        <v>0</v>
      </c>
    </row>
    <row r="15" spans="1:30" x14ac:dyDescent="0.25">
      <c r="A15" s="23">
        <f t="shared" si="10"/>
        <v>8</v>
      </c>
      <c r="B15" s="24" t="s">
        <v>16</v>
      </c>
      <c r="C15" s="32" t="s">
        <v>107</v>
      </c>
      <c r="D15" s="32" t="s">
        <v>114</v>
      </c>
      <c r="E15" s="33">
        <v>44896</v>
      </c>
      <c r="F15" s="33">
        <f t="shared" si="11"/>
        <v>46022</v>
      </c>
      <c r="G15" s="27">
        <f t="shared" si="1"/>
        <v>3.0849315068493151</v>
      </c>
      <c r="H15" s="28">
        <v>365</v>
      </c>
      <c r="I15" s="23">
        <v>25</v>
      </c>
      <c r="J15" s="23">
        <v>35</v>
      </c>
      <c r="K15" s="23">
        <v>39</v>
      </c>
      <c r="L15" s="52">
        <v>30</v>
      </c>
      <c r="M15" s="43"/>
      <c r="N15" s="43"/>
      <c r="O15" s="43"/>
      <c r="P15" s="30"/>
      <c r="Q15" s="62"/>
      <c r="R15" s="30">
        <f t="shared" si="2"/>
        <v>0</v>
      </c>
      <c r="S15" s="30">
        <f t="shared" si="8"/>
        <v>0</v>
      </c>
      <c r="T15" s="44"/>
      <c r="U15" s="29"/>
      <c r="V15" s="29"/>
      <c r="W15" s="29"/>
      <c r="X15" s="29"/>
      <c r="Y15" s="56"/>
      <c r="Z15" s="56">
        <f t="shared" si="9"/>
        <v>0</v>
      </c>
      <c r="AD15" s="43">
        <f t="shared" si="0"/>
        <v>0</v>
      </c>
    </row>
    <row r="16" spans="1:30" x14ac:dyDescent="0.25">
      <c r="A16" s="23">
        <f t="shared" si="10"/>
        <v>9</v>
      </c>
      <c r="B16" s="24" t="s">
        <v>16</v>
      </c>
      <c r="C16" s="32" t="s">
        <v>108</v>
      </c>
      <c r="D16" s="32" t="s">
        <v>115</v>
      </c>
      <c r="E16" s="33">
        <v>43815</v>
      </c>
      <c r="F16" s="33">
        <f t="shared" si="11"/>
        <v>46022</v>
      </c>
      <c r="G16" s="27">
        <f t="shared" si="1"/>
        <v>6.0465753424657533</v>
      </c>
      <c r="H16" s="28">
        <v>415</v>
      </c>
      <c r="I16" s="23">
        <v>12</v>
      </c>
      <c r="J16" s="23">
        <v>20</v>
      </c>
      <c r="K16" s="23">
        <v>39</v>
      </c>
      <c r="L16" s="52">
        <v>30</v>
      </c>
      <c r="M16" s="43"/>
      <c r="N16" s="43"/>
      <c r="O16" s="43"/>
      <c r="P16" s="30"/>
      <c r="Q16" s="62"/>
      <c r="R16" s="30">
        <f t="shared" si="2"/>
        <v>0</v>
      </c>
      <c r="S16" s="30">
        <f t="shared" si="8"/>
        <v>0</v>
      </c>
      <c r="T16" s="44"/>
      <c r="U16" s="29"/>
      <c r="V16" s="29"/>
      <c r="W16" s="29"/>
      <c r="X16" s="29"/>
      <c r="Y16" s="56"/>
      <c r="Z16" s="56">
        <f t="shared" si="9"/>
        <v>0</v>
      </c>
      <c r="AD16" s="43">
        <f t="shared" si="0"/>
        <v>0</v>
      </c>
    </row>
    <row r="17" spans="1:30" x14ac:dyDescent="0.25">
      <c r="A17" s="23">
        <f t="shared" si="10"/>
        <v>10</v>
      </c>
      <c r="B17" s="24" t="s">
        <v>16</v>
      </c>
      <c r="C17" s="32" t="s">
        <v>109</v>
      </c>
      <c r="D17" s="32" t="s">
        <v>18</v>
      </c>
      <c r="E17" s="33">
        <v>43435</v>
      </c>
      <c r="F17" s="38">
        <f t="shared" ref="F17:F18" si="12">+F12</f>
        <v>46022</v>
      </c>
      <c r="G17" s="27">
        <f t="shared" si="1"/>
        <v>7.087671232876712</v>
      </c>
      <c r="H17" s="28">
        <v>450</v>
      </c>
      <c r="I17" s="23">
        <v>19</v>
      </c>
      <c r="J17" s="23">
        <v>25</v>
      </c>
      <c r="K17" s="23">
        <f>39*4</f>
        <v>156</v>
      </c>
      <c r="L17" s="52">
        <v>30</v>
      </c>
      <c r="M17" s="43"/>
      <c r="N17" s="43"/>
      <c r="O17" s="43"/>
      <c r="P17" s="30"/>
      <c r="Q17" s="62"/>
      <c r="R17" s="30">
        <f t="shared" si="2"/>
        <v>0</v>
      </c>
      <c r="S17" s="30">
        <f t="shared" si="8"/>
        <v>0</v>
      </c>
      <c r="T17" s="44"/>
      <c r="U17" s="29"/>
      <c r="V17" s="29"/>
      <c r="W17" s="29"/>
      <c r="X17" s="29"/>
      <c r="Y17" s="56"/>
      <c r="Z17" s="56">
        <f t="shared" si="9"/>
        <v>0</v>
      </c>
      <c r="AD17" s="43">
        <f t="shared" si="0"/>
        <v>0</v>
      </c>
    </row>
    <row r="18" spans="1:30" x14ac:dyDescent="0.25">
      <c r="A18" s="23">
        <f t="shared" ref="A18" si="13">+A17+1</f>
        <v>11</v>
      </c>
      <c r="B18" s="24" t="s">
        <v>16</v>
      </c>
      <c r="C18" s="32" t="s">
        <v>110</v>
      </c>
      <c r="D18" s="32" t="s">
        <v>19</v>
      </c>
      <c r="E18" s="33">
        <v>45170</v>
      </c>
      <c r="F18" s="38">
        <f t="shared" si="12"/>
        <v>46022</v>
      </c>
      <c r="G18" s="27">
        <f t="shared" si="1"/>
        <v>2.3342465753424659</v>
      </c>
      <c r="H18" s="28">
        <v>425</v>
      </c>
      <c r="I18" s="23">
        <v>44</v>
      </c>
      <c r="J18" s="23">
        <v>33</v>
      </c>
      <c r="K18" s="23">
        <v>0</v>
      </c>
      <c r="L18" s="52">
        <v>30</v>
      </c>
      <c r="M18" s="43"/>
      <c r="N18" s="43"/>
      <c r="O18" s="43"/>
      <c r="P18" s="30"/>
      <c r="Q18" s="62"/>
      <c r="R18" s="30">
        <f t="shared" si="2"/>
        <v>0</v>
      </c>
      <c r="S18" s="30">
        <f t="shared" si="8"/>
        <v>0</v>
      </c>
      <c r="T18" s="44"/>
      <c r="U18" s="29"/>
      <c r="V18" s="29"/>
      <c r="W18" s="29"/>
      <c r="X18" s="29"/>
      <c r="Y18" s="56"/>
      <c r="Z18" s="56">
        <f t="shared" si="9"/>
        <v>0</v>
      </c>
      <c r="AD18" s="43">
        <f t="shared" si="0"/>
        <v>0</v>
      </c>
    </row>
    <row r="19" spans="1:30" x14ac:dyDescent="0.25">
      <c r="A19"/>
      <c r="B19"/>
      <c r="C19"/>
      <c r="D19" s="39"/>
      <c r="E19" s="40"/>
      <c r="F19" s="40"/>
      <c r="G19" s="41" t="s">
        <v>3</v>
      </c>
      <c r="H19" s="19">
        <f t="shared" ref="H19:Z19" si="14">SUM(H12:H18)</f>
        <v>3130</v>
      </c>
      <c r="I19" s="19"/>
      <c r="J19" s="19"/>
      <c r="K19" s="19"/>
      <c r="L19" s="19"/>
      <c r="M19" s="19">
        <f t="shared" ref="M19:O19" si="15">SUM(M12:M18)</f>
        <v>0</v>
      </c>
      <c r="N19" s="19">
        <f t="shared" si="15"/>
        <v>0</v>
      </c>
      <c r="O19" s="19">
        <f t="shared" si="15"/>
        <v>0</v>
      </c>
      <c r="P19" s="19">
        <f>SUM(P12:P18)</f>
        <v>0</v>
      </c>
      <c r="Q19" s="64">
        <f>SUM(Q12:Q18)</f>
        <v>0</v>
      </c>
      <c r="R19" s="19">
        <f>SUM(R12:R18)</f>
        <v>0</v>
      </c>
      <c r="S19" s="19">
        <f>SUM(S12:S18)</f>
        <v>0</v>
      </c>
      <c r="T19" s="46">
        <f>SUM(T12:T18)</f>
        <v>0</v>
      </c>
      <c r="U19" s="19">
        <f t="shared" si="14"/>
        <v>0</v>
      </c>
      <c r="V19" s="19">
        <f t="shared" ref="V19" si="16">SUM(V12:V18)</f>
        <v>0</v>
      </c>
      <c r="W19" s="19">
        <f t="shared" si="14"/>
        <v>0</v>
      </c>
      <c r="X19" s="19">
        <f t="shared" ref="X19" si="17">SUM(X12:X18)</f>
        <v>0</v>
      </c>
      <c r="Y19" s="58">
        <f t="shared" si="14"/>
        <v>0</v>
      </c>
      <c r="Z19" s="58">
        <f t="shared" si="14"/>
        <v>0</v>
      </c>
      <c r="AD19" s="43">
        <f t="shared" si="0"/>
        <v>0</v>
      </c>
    </row>
    <row r="20" spans="1:30" x14ac:dyDescent="0.25">
      <c r="A20"/>
      <c r="B20"/>
      <c r="C20"/>
      <c r="D20"/>
      <c r="E20" s="40"/>
      <c r="F20"/>
      <c r="G20" s="41" t="s">
        <v>4</v>
      </c>
      <c r="H20" s="20">
        <f>+H11+H19</f>
        <v>7080</v>
      </c>
      <c r="I20" s="20"/>
      <c r="J20" s="20"/>
      <c r="K20" s="20"/>
      <c r="L20" s="20"/>
      <c r="M20" s="20">
        <f t="shared" ref="M20:O20" si="18">+M11+M19</f>
        <v>0</v>
      </c>
      <c r="N20" s="20">
        <f t="shared" si="18"/>
        <v>0</v>
      </c>
      <c r="O20" s="20">
        <f t="shared" si="18"/>
        <v>0</v>
      </c>
      <c r="P20" s="20">
        <f>+P11+P19</f>
        <v>0</v>
      </c>
      <c r="Q20" s="65">
        <f>+Q11+Q19</f>
        <v>0</v>
      </c>
      <c r="R20" s="20">
        <f>+R11+R19</f>
        <v>0</v>
      </c>
      <c r="S20" s="20">
        <f>+S11+S19</f>
        <v>0</v>
      </c>
      <c r="T20" s="47">
        <f>+T11+T19</f>
        <v>0</v>
      </c>
      <c r="U20" s="20">
        <f t="shared" ref="U20:Z20" si="19">+U11+U19</f>
        <v>0</v>
      </c>
      <c r="V20" s="20">
        <f t="shared" ref="V20" si="20">+V11+V19</f>
        <v>0</v>
      </c>
      <c r="W20" s="20">
        <f t="shared" si="19"/>
        <v>0</v>
      </c>
      <c r="X20" s="20">
        <f t="shared" ref="X20" si="21">+X11+X19</f>
        <v>0</v>
      </c>
      <c r="Y20" s="59">
        <f t="shared" si="19"/>
        <v>0</v>
      </c>
      <c r="Z20" s="59">
        <f t="shared" si="19"/>
        <v>0</v>
      </c>
      <c r="AD20" s="43">
        <f t="shared" si="0"/>
        <v>0</v>
      </c>
    </row>
    <row r="29" spans="1:30" x14ac:dyDescent="0.25">
      <c r="Z29" s="9"/>
    </row>
    <row r="30" spans="1:30" x14ac:dyDescent="0.25">
      <c r="Z30" s="9"/>
    </row>
    <row r="31" spans="1:30" x14ac:dyDescent="0.25">
      <c r="W31" s="12"/>
      <c r="X31" s="12"/>
      <c r="Z31" s="9"/>
    </row>
    <row r="32" spans="1:30" x14ac:dyDescent="0.25">
      <c r="W32" s="13"/>
      <c r="X32" s="13"/>
    </row>
    <row r="33" spans="21:24" x14ac:dyDescent="0.25">
      <c r="W33" s="13"/>
      <c r="X33" s="13"/>
    </row>
    <row r="34" spans="21:24" x14ac:dyDescent="0.25">
      <c r="W34" s="13"/>
      <c r="X34" s="13"/>
    </row>
    <row r="35" spans="21:24" x14ac:dyDescent="0.25">
      <c r="W35" s="15"/>
      <c r="X35" s="15"/>
    </row>
    <row r="36" spans="21:24" x14ac:dyDescent="0.25">
      <c r="W36" s="16"/>
      <c r="X36" s="16"/>
    </row>
    <row r="37" spans="21:24" x14ac:dyDescent="0.25">
      <c r="W37" s="17"/>
      <c r="X37" s="17"/>
    </row>
    <row r="38" spans="21:24" x14ac:dyDescent="0.25">
      <c r="U38" s="17"/>
      <c r="V38" s="17"/>
    </row>
    <row r="40" spans="21:24" x14ac:dyDescent="0.25">
      <c r="W40" s="17"/>
      <c r="X40" s="17"/>
    </row>
    <row r="41" spans="21:24" x14ac:dyDescent="0.25">
      <c r="W41" s="18"/>
      <c r="X41" s="18"/>
    </row>
    <row r="43" spans="21:24" x14ac:dyDescent="0.25">
      <c r="W43" s="17"/>
      <c r="X43" s="17"/>
    </row>
  </sheetData>
  <mergeCells count="1">
    <mergeCell ref="B5:Z5"/>
  </mergeCells>
  <phoneticPr fontId="12" type="noConversion"/>
  <dataValidations count="1">
    <dataValidation type="textLength" operator="equal" allowBlank="1" showInputMessage="1" showErrorMessage="1" sqref="E1:F1 AD1:AD1048576" xr:uid="{C947066E-E31E-40B2-9D32-736FFCA1A427}">
      <formula1>0</formula1>
    </dataValidation>
  </dataValidations>
  <pageMargins left="0.70866141732283472" right="0.45" top="0.48" bottom="0.61" header="0.31496062992125984" footer="0.31496062992125984"/>
  <pageSetup scale="85" orientation="landscape" r:id="rId1"/>
  <headerFooter>
    <oddFooter>&amp;L&amp;P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A72D9-751A-4362-A199-E28E419F642B}">
  <sheetPr>
    <tabColor rgb="FF002060"/>
  </sheetPr>
  <dimension ref="A1:L29"/>
  <sheetViews>
    <sheetView topLeftCell="A9" zoomScaleNormal="100" zoomScaleSheetLayoutView="100" workbookViewId="0">
      <selection activeCell="D20" sqref="D20:E20"/>
    </sheetView>
  </sheetViews>
  <sheetFormatPr baseColWidth="10" defaultRowHeight="15" x14ac:dyDescent="0.25"/>
  <cols>
    <col min="1" max="12" width="6.7109375" style="67" customWidth="1"/>
    <col min="13" max="16384" width="11.42578125" style="67"/>
  </cols>
  <sheetData>
    <row r="1" spans="1:12" ht="78.75" customHeight="1" x14ac:dyDescent="0.25">
      <c r="A1" s="109"/>
      <c r="B1" s="109"/>
      <c r="C1" s="109"/>
      <c r="D1" s="109"/>
      <c r="E1" s="109"/>
      <c r="F1" s="126" t="s">
        <v>98</v>
      </c>
      <c r="G1" s="126"/>
      <c r="H1" s="126"/>
      <c r="I1" s="126"/>
      <c r="J1" s="126"/>
      <c r="K1" s="126"/>
      <c r="L1" s="126"/>
    </row>
    <row r="2" spans="1:12" x14ac:dyDescent="0.25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</row>
    <row r="3" spans="1:12" ht="26.25" x14ac:dyDescent="0.4">
      <c r="A3" s="127" t="s">
        <v>63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</row>
    <row r="4" spans="1:12" x14ac:dyDescent="0.25">
      <c r="A4" s="66"/>
      <c r="B4" s="128" t="s">
        <v>119</v>
      </c>
      <c r="C4" s="128"/>
      <c r="D4" s="128"/>
      <c r="E4" s="128"/>
      <c r="F4" s="128"/>
      <c r="G4" s="128"/>
      <c r="H4" s="128"/>
      <c r="I4" s="128"/>
      <c r="J4" s="128"/>
      <c r="K4" s="128"/>
      <c r="L4" s="128"/>
    </row>
    <row r="5" spans="1:12" x14ac:dyDescent="0.25">
      <c r="A5" s="66"/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</row>
    <row r="6" spans="1:12" ht="24.95" customHeight="1" thickBot="1" x14ac:dyDescent="0.3">
      <c r="A6" s="125" t="s">
        <v>64</v>
      </c>
      <c r="B6" s="125"/>
      <c r="C6" s="125" t="s">
        <v>65</v>
      </c>
      <c r="D6" s="125"/>
      <c r="E6" s="125"/>
      <c r="F6" s="125"/>
      <c r="G6" s="125"/>
      <c r="H6" s="125" t="s">
        <v>66</v>
      </c>
      <c r="I6" s="125"/>
      <c r="J6" s="125"/>
      <c r="K6" s="125"/>
      <c r="L6" s="73"/>
    </row>
    <row r="7" spans="1:12" ht="24.95" customHeight="1" thickTop="1" x14ac:dyDescent="0.25">
      <c r="A7" s="129" t="s">
        <v>109</v>
      </c>
      <c r="B7" s="130"/>
      <c r="C7" s="131" t="str">
        <f>INDEX(PLANILLA!$D$7:$D$18,MATCH($A$7,PLANILLA!$C$7:$C$18,0))</f>
        <v>Montacarguista</v>
      </c>
      <c r="D7" s="131"/>
      <c r="E7" s="131"/>
      <c r="F7" s="131"/>
      <c r="G7" s="131"/>
      <c r="H7" s="132" t="s">
        <v>111</v>
      </c>
      <c r="I7" s="132"/>
      <c r="J7" s="132"/>
      <c r="K7" s="132"/>
      <c r="L7" s="74"/>
    </row>
    <row r="8" spans="1:12" x14ac:dyDescent="0.25">
      <c r="A8" s="73"/>
      <c r="B8" s="73"/>
      <c r="C8" s="73"/>
      <c r="D8" s="73"/>
      <c r="E8" s="73"/>
      <c r="F8" s="73"/>
      <c r="G8" s="73"/>
      <c r="H8" s="73"/>
      <c r="I8" s="73"/>
      <c r="J8" s="73"/>
      <c r="K8" s="73"/>
      <c r="L8" s="74"/>
    </row>
    <row r="9" spans="1:12" x14ac:dyDescent="0.25">
      <c r="A9" s="128" t="s">
        <v>67</v>
      </c>
      <c r="B9" s="128"/>
      <c r="C9" s="128"/>
      <c r="D9" s="73">
        <v>30</v>
      </c>
      <c r="E9" s="73"/>
      <c r="F9" s="73"/>
      <c r="G9" s="73"/>
      <c r="H9" s="73"/>
      <c r="I9" s="73"/>
      <c r="J9" s="73"/>
      <c r="K9" s="73"/>
      <c r="L9" s="74"/>
    </row>
    <row r="10" spans="1:12" x14ac:dyDescent="0.25">
      <c r="A10" s="73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ht="15.75" thickBot="1" x14ac:dyDescent="0.3">
      <c r="A11" s="133" t="s">
        <v>68</v>
      </c>
      <c r="B11" s="133"/>
      <c r="C11" s="133"/>
      <c r="D11" s="133"/>
      <c r="E11" s="133"/>
      <c r="H11" s="133" t="s">
        <v>69</v>
      </c>
      <c r="I11" s="133"/>
      <c r="J11" s="133"/>
      <c r="K11" s="133"/>
      <c r="L11" s="133"/>
    </row>
    <row r="13" spans="1:12" s="75" customFormat="1" ht="24.95" customHeight="1" x14ac:dyDescent="0.25">
      <c r="A13" s="104" t="s">
        <v>70</v>
      </c>
      <c r="B13" s="104"/>
      <c r="C13" s="104"/>
      <c r="D13" s="134">
        <f>SUMIF(PLANILLA!$C$7:$C$18,$A$7,PLANILLA!$H$7:$H$18)</f>
        <v>450</v>
      </c>
      <c r="E13" s="134"/>
      <c r="H13" s="104" t="s">
        <v>71</v>
      </c>
      <c r="I13" s="104"/>
      <c r="J13" s="104"/>
      <c r="K13" s="134">
        <f>SUMIF(PLANILLA!$C$7:$C$18,$A$7,PLANILLA!$V$7:$V$18)</f>
        <v>0</v>
      </c>
      <c r="L13" s="134"/>
    </row>
    <row r="14" spans="1:12" s="75" customFormat="1" ht="24.95" customHeight="1" x14ac:dyDescent="0.25">
      <c r="A14" s="104" t="s">
        <v>72</v>
      </c>
      <c r="B14" s="104"/>
      <c r="C14" s="104"/>
      <c r="D14" s="134">
        <f>SUMIF(PLANILLA!$C$7:$C$18,$A$7,PLANILLA!$AD$7:$AD$18)</f>
        <v>0</v>
      </c>
      <c r="E14" s="134"/>
      <c r="H14" s="104" t="s">
        <v>73</v>
      </c>
      <c r="I14" s="104"/>
      <c r="J14" s="104"/>
      <c r="K14" s="134">
        <f>SUMIF(PLANILLA!$C$7:$C$18,$A$7,PLANILLA!$X$7:$X$18)</f>
        <v>0</v>
      </c>
      <c r="L14" s="134"/>
    </row>
    <row r="15" spans="1:12" s="75" customFormat="1" ht="24.95" customHeight="1" x14ac:dyDescent="0.25">
      <c r="A15" s="104" t="s">
        <v>117</v>
      </c>
      <c r="B15" s="104"/>
      <c r="C15" s="104"/>
      <c r="D15" s="134">
        <f>SUMIF(PLANILLA!$C$7:$C$18,$A$7,PLANILLA!$O$7:$O$18)</f>
        <v>0</v>
      </c>
      <c r="E15" s="134"/>
      <c r="H15" s="104" t="s">
        <v>74</v>
      </c>
      <c r="I15" s="104"/>
      <c r="J15" s="104"/>
      <c r="K15" s="134">
        <v>0</v>
      </c>
      <c r="L15" s="134"/>
    </row>
    <row r="16" spans="1:12" s="75" customFormat="1" ht="24.95" customHeight="1" x14ac:dyDescent="0.25">
      <c r="A16" s="104" t="s">
        <v>75</v>
      </c>
      <c r="B16" s="104"/>
      <c r="C16" s="104"/>
      <c r="D16" s="134">
        <f>SUMIF(PLANILLA!$C$7:$C$18,$A$7,PLANILLA!$R$7:$R$18)</f>
        <v>0</v>
      </c>
      <c r="E16" s="134"/>
      <c r="H16" s="104" t="s">
        <v>76</v>
      </c>
      <c r="I16" s="104"/>
      <c r="J16" s="104"/>
      <c r="K16" s="134">
        <v>0</v>
      </c>
      <c r="L16" s="134"/>
    </row>
    <row r="17" spans="1:12" s="75" customFormat="1" ht="24.95" customHeight="1" x14ac:dyDescent="0.25">
      <c r="A17" s="104" t="s">
        <v>77</v>
      </c>
      <c r="B17" s="104"/>
      <c r="C17" s="104"/>
      <c r="D17" s="134">
        <v>0</v>
      </c>
      <c r="E17" s="134"/>
      <c r="H17" s="135" t="s">
        <v>78</v>
      </c>
      <c r="I17" s="135"/>
      <c r="J17" s="135"/>
      <c r="K17" s="134">
        <v>0</v>
      </c>
      <c r="L17" s="134"/>
    </row>
    <row r="18" spans="1:12" s="75" customFormat="1" ht="24.95" customHeight="1" x14ac:dyDescent="0.25">
      <c r="A18" s="104" t="s">
        <v>79</v>
      </c>
      <c r="B18" s="104"/>
      <c r="C18" s="104"/>
      <c r="D18" s="134">
        <v>0</v>
      </c>
      <c r="E18" s="134"/>
      <c r="H18" s="135" t="s">
        <v>80</v>
      </c>
      <c r="I18" s="135" t="s">
        <v>81</v>
      </c>
      <c r="J18" s="135" t="s">
        <v>81</v>
      </c>
      <c r="K18" s="134">
        <v>0</v>
      </c>
      <c r="L18" s="134"/>
    </row>
    <row r="19" spans="1:12" s="75" customFormat="1" ht="24.95" customHeight="1" x14ac:dyDescent="0.25">
      <c r="A19" s="104" t="s">
        <v>82</v>
      </c>
      <c r="B19" s="104"/>
      <c r="C19" s="104"/>
      <c r="D19" s="134">
        <f>SUMIF(PLANILLA!$C$7:$C$18,$A$7,PLANILLA!$P$7:$P$18)</f>
        <v>0</v>
      </c>
      <c r="E19" s="134"/>
      <c r="H19" s="135" t="s">
        <v>83</v>
      </c>
      <c r="I19" s="135" t="s">
        <v>84</v>
      </c>
      <c r="J19" s="135" t="s">
        <v>84</v>
      </c>
      <c r="K19" s="134">
        <v>0</v>
      </c>
      <c r="L19" s="134"/>
    </row>
    <row r="20" spans="1:12" s="75" customFormat="1" ht="24.95" customHeight="1" x14ac:dyDescent="0.25">
      <c r="A20" s="104" t="s">
        <v>85</v>
      </c>
      <c r="B20" s="104"/>
      <c r="C20" s="104"/>
      <c r="D20" s="134">
        <f>SUMIF(PLANILLA!$C$7:$C$18,$A$7,PLANILLA!$L$7:$L$18)</f>
        <v>30</v>
      </c>
      <c r="E20" s="134"/>
      <c r="H20" s="104" t="s">
        <v>86</v>
      </c>
      <c r="I20" s="104"/>
      <c r="J20" s="104"/>
      <c r="K20" s="134">
        <v>0</v>
      </c>
      <c r="L20" s="134"/>
    </row>
    <row r="21" spans="1:12" s="75" customFormat="1" ht="24.95" customHeight="1" x14ac:dyDescent="0.25">
      <c r="A21" s="104" t="s">
        <v>87</v>
      </c>
      <c r="B21" s="104"/>
      <c r="C21" s="104"/>
      <c r="D21" s="134">
        <v>0</v>
      </c>
      <c r="E21" s="134"/>
      <c r="H21" s="104" t="s">
        <v>88</v>
      </c>
      <c r="I21" s="104"/>
      <c r="J21" s="104"/>
      <c r="K21" s="134">
        <v>0</v>
      </c>
      <c r="L21" s="134"/>
    </row>
    <row r="22" spans="1:12" s="75" customFormat="1" ht="24.95" customHeight="1" x14ac:dyDescent="0.25">
      <c r="A22" s="104" t="s">
        <v>89</v>
      </c>
      <c r="B22" s="104"/>
      <c r="C22" s="104"/>
      <c r="D22" s="134">
        <v>0</v>
      </c>
      <c r="E22" s="134"/>
      <c r="H22" s="104" t="s">
        <v>90</v>
      </c>
      <c r="I22" s="104"/>
      <c r="J22" s="104"/>
      <c r="K22" s="134">
        <v>0</v>
      </c>
      <c r="L22" s="134"/>
    </row>
    <row r="23" spans="1:12" s="75" customFormat="1" ht="24.95" customHeight="1" x14ac:dyDescent="0.25">
      <c r="A23" s="104" t="s">
        <v>91</v>
      </c>
      <c r="B23" s="104"/>
      <c r="C23" s="104"/>
      <c r="D23" s="134">
        <v>0</v>
      </c>
      <c r="E23" s="134"/>
      <c r="H23" s="104" t="s">
        <v>92</v>
      </c>
      <c r="I23" s="104"/>
      <c r="J23" s="104"/>
      <c r="K23" s="134">
        <v>0</v>
      </c>
      <c r="L23" s="134"/>
    </row>
    <row r="24" spans="1:12" s="75" customFormat="1" ht="24.95" customHeight="1" x14ac:dyDescent="0.25">
      <c r="H24" s="136"/>
      <c r="I24" s="136"/>
      <c r="J24" s="136"/>
    </row>
    <row r="25" spans="1:12" s="75" customFormat="1" ht="24.95" customHeight="1" x14ac:dyDescent="0.25">
      <c r="A25" s="137" t="s">
        <v>93</v>
      </c>
      <c r="B25" s="137"/>
      <c r="C25" s="137"/>
      <c r="D25" s="138">
        <f>SUM(D13:E23)</f>
        <v>480</v>
      </c>
      <c r="E25" s="139"/>
      <c r="H25" s="137" t="s">
        <v>94</v>
      </c>
      <c r="I25" s="137"/>
      <c r="J25" s="137"/>
      <c r="K25" s="138">
        <f>SUM(K13:L23)</f>
        <v>0</v>
      </c>
      <c r="L25" s="139"/>
    </row>
    <row r="26" spans="1:12" s="75" customFormat="1" ht="24.95" customHeight="1" x14ac:dyDescent="0.25">
      <c r="H26" s="136"/>
      <c r="I26" s="136"/>
      <c r="J26" s="136"/>
    </row>
    <row r="27" spans="1:12" s="75" customFormat="1" ht="24.95" customHeight="1" x14ac:dyDescent="0.25">
      <c r="A27" s="137" t="s">
        <v>95</v>
      </c>
      <c r="B27" s="137"/>
      <c r="C27" s="137"/>
      <c r="D27" s="138">
        <f>+D25-K25</f>
        <v>480</v>
      </c>
      <c r="E27" s="139"/>
      <c r="G27" s="101" t="s">
        <v>96</v>
      </c>
      <c r="H27" s="101"/>
      <c r="I27" s="101"/>
      <c r="J27" s="101"/>
      <c r="K27" s="101"/>
    </row>
    <row r="28" spans="1:12" x14ac:dyDescent="0.25">
      <c r="G28" s="128" t="str">
        <f>+IF(A7&lt;&gt;"",$C$7,"")</f>
        <v>Montacarguista</v>
      </c>
      <c r="H28" s="128"/>
      <c r="I28" s="128"/>
      <c r="J28" s="128"/>
      <c r="K28" s="128"/>
    </row>
    <row r="29" spans="1:12" x14ac:dyDescent="0.25">
      <c r="G29" s="128" t="s">
        <v>97</v>
      </c>
      <c r="H29" s="128"/>
      <c r="I29" s="128"/>
      <c r="J29" s="128"/>
      <c r="K29" s="128"/>
    </row>
  </sheetData>
  <mergeCells count="69">
    <mergeCell ref="G29:K29"/>
    <mergeCell ref="A23:C23"/>
    <mergeCell ref="D23:E23"/>
    <mergeCell ref="H23:J23"/>
    <mergeCell ref="K23:L23"/>
    <mergeCell ref="H24:J24"/>
    <mergeCell ref="A25:C25"/>
    <mergeCell ref="D25:E25"/>
    <mergeCell ref="H25:J25"/>
    <mergeCell ref="K25:L25"/>
    <mergeCell ref="H26:J26"/>
    <mergeCell ref="A27:C27"/>
    <mergeCell ref="D27:E27"/>
    <mergeCell ref="G27:K27"/>
    <mergeCell ref="G28:K28"/>
    <mergeCell ref="A21:C21"/>
    <mergeCell ref="D21:E21"/>
    <mergeCell ref="H21:J21"/>
    <mergeCell ref="K21:L21"/>
    <mergeCell ref="A22:C22"/>
    <mergeCell ref="D22:E22"/>
    <mergeCell ref="H22:J22"/>
    <mergeCell ref="K22:L22"/>
    <mergeCell ref="A19:C19"/>
    <mergeCell ref="D19:E19"/>
    <mergeCell ref="H19:J19"/>
    <mergeCell ref="K19:L19"/>
    <mergeCell ref="A20:C20"/>
    <mergeCell ref="D20:E20"/>
    <mergeCell ref="H20:J20"/>
    <mergeCell ref="K20:L20"/>
    <mergeCell ref="A17:C17"/>
    <mergeCell ref="D17:E17"/>
    <mergeCell ref="H17:J17"/>
    <mergeCell ref="K17:L17"/>
    <mergeCell ref="A18:C18"/>
    <mergeCell ref="D18:E18"/>
    <mergeCell ref="H18:J18"/>
    <mergeCell ref="K18:L18"/>
    <mergeCell ref="A15:C15"/>
    <mergeCell ref="D15:E15"/>
    <mergeCell ref="H15:J15"/>
    <mergeCell ref="K15:L15"/>
    <mergeCell ref="A16:C16"/>
    <mergeCell ref="D16:E16"/>
    <mergeCell ref="H16:J16"/>
    <mergeCell ref="K16:L16"/>
    <mergeCell ref="A13:C13"/>
    <mergeCell ref="D13:E13"/>
    <mergeCell ref="H13:J13"/>
    <mergeCell ref="K13:L13"/>
    <mergeCell ref="A14:C14"/>
    <mergeCell ref="D14:E14"/>
    <mergeCell ref="H14:J14"/>
    <mergeCell ref="K14:L14"/>
    <mergeCell ref="A7:B7"/>
    <mergeCell ref="C7:G7"/>
    <mergeCell ref="H7:K7"/>
    <mergeCell ref="A9:C9"/>
    <mergeCell ref="A11:E11"/>
    <mergeCell ref="H11:L11"/>
    <mergeCell ref="A6:B6"/>
    <mergeCell ref="C6:G6"/>
    <mergeCell ref="H6:K6"/>
    <mergeCell ref="A1:E1"/>
    <mergeCell ref="F1:L1"/>
    <mergeCell ref="A2:L2"/>
    <mergeCell ref="A3:L3"/>
    <mergeCell ref="B4:L4"/>
  </mergeCells>
  <dataValidations count="1">
    <dataValidation type="textLength" operator="equal" allowBlank="1" showInputMessage="1" showErrorMessage="1" sqref="A8:XFD1048576 C7:XFD7 A1:XFD6" xr:uid="{CDFD469F-2D5D-4354-A9B8-7F419C6F5D60}">
      <formula1>0</formula1>
    </dataValidation>
  </dataValidations>
  <printOptions horizontalCentered="1"/>
  <pageMargins left="0.70866141732283472" right="0.70866141732283472" top="0.74803149606299213" bottom="0.9055118110236221" header="0.31496062992125984" footer="0.31496062992125984"/>
  <pageSetup orientation="portrait" r:id="rId1"/>
  <headerFooter>
    <oddFooter>&amp;L&amp;8Elaborado por AMGA Consulting&amp;R&amp;P de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CCB0FA-F716-4E4A-9583-9803C9AF7E79}">
          <x14:formula1>
            <xm:f>PLANILLA!$C$7:$C$18</xm:f>
          </x14:formula1>
          <xm:sqref>A7:B7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Portada</vt:lpstr>
      <vt:lpstr>Planteamiento</vt:lpstr>
      <vt:lpstr>PLANILLA</vt:lpstr>
      <vt:lpstr>Boleta de pago</vt:lpstr>
      <vt:lpstr>'Boleta de pago'!Títulos_a_imprimir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GUARDADO</dc:creator>
  <cp:lastModifiedBy>joel marin</cp:lastModifiedBy>
  <cp:lastPrinted>2024-03-05T04:38:45Z</cp:lastPrinted>
  <dcterms:created xsi:type="dcterms:W3CDTF">2020-09-21T06:04:45Z</dcterms:created>
  <dcterms:modified xsi:type="dcterms:W3CDTF">2025-03-11T21:44:31Z</dcterms:modified>
</cp:coreProperties>
</file>