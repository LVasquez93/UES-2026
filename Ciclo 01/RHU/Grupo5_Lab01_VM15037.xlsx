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 Vasquez\Desktop\"/>
    </mc:Choice>
  </mc:AlternateContent>
  <xr:revisionPtr revIDLastSave="0" documentId="8_{F935086F-E19A-490C-B9FB-7D2BDB6739BD}" xr6:coauthVersionLast="47" xr6:coauthVersionMax="47" xr10:uidLastSave="{00000000-0000-0000-0000-000000000000}"/>
  <bookViews>
    <workbookView xWindow="-120" yWindow="-120" windowWidth="20640" windowHeight="11160" activeTab="2" xr2:uid="{00000000-000D-0000-FFFF-FFFF00000000}"/>
  </bookViews>
  <sheets>
    <sheet name="Planteamiento" sheetId="3" r:id="rId1"/>
    <sheet name="EjercicioPlanilla" sheetId="6" r:id="rId2"/>
    <sheet name="EjercicioPlanilla-Solució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12" i="4" l="1"/>
  <c r="V13" i="4"/>
  <c r="V14" i="4"/>
  <c r="V15" i="4"/>
  <c r="V16" i="4"/>
  <c r="V11" i="4"/>
  <c r="V7" i="4"/>
  <c r="V8" i="4"/>
  <c r="V9" i="4"/>
  <c r="V6" i="4"/>
  <c r="P12" i="4"/>
  <c r="P13" i="4"/>
  <c r="P14" i="4"/>
  <c r="P15" i="4"/>
  <c r="P16" i="4"/>
  <c r="P11" i="4"/>
  <c r="P7" i="4"/>
  <c r="P8" i="4"/>
  <c r="P9" i="4"/>
  <c r="P6" i="4"/>
  <c r="O6" i="4"/>
  <c r="N12" i="4"/>
  <c r="N13" i="4"/>
  <c r="N14" i="4"/>
  <c r="N15" i="4"/>
  <c r="N16" i="4"/>
  <c r="N11" i="4"/>
  <c r="N7" i="4"/>
  <c r="N8" i="4"/>
  <c r="N9" i="4"/>
  <c r="N6" i="4"/>
  <c r="K15" i="4"/>
  <c r="K16" i="4"/>
  <c r="K14" i="4"/>
  <c r="J15" i="4"/>
  <c r="J16" i="4"/>
  <c r="J14" i="4"/>
  <c r="I12" i="4"/>
  <c r="I13" i="4"/>
  <c r="I14" i="4"/>
  <c r="I15" i="4"/>
  <c r="I16" i="4"/>
  <c r="I11" i="4"/>
  <c r="I7" i="4"/>
  <c r="I8" i="4"/>
  <c r="I9" i="4"/>
  <c r="I6" i="4"/>
  <c r="H7" i="4"/>
  <c r="H8" i="4"/>
  <c r="H9" i="4"/>
  <c r="H11" i="4"/>
  <c r="H12" i="4"/>
  <c r="H13" i="4"/>
  <c r="H14" i="4"/>
  <c r="H15" i="4"/>
  <c r="H16" i="4"/>
  <c r="H6" i="4"/>
  <c r="M12" i="4" l="1"/>
  <c r="M13" i="4"/>
  <c r="M15" i="4"/>
  <c r="M14" i="4"/>
  <c r="M11" i="4"/>
  <c r="M7" i="4"/>
  <c r="M8" i="4"/>
  <c r="M9" i="4"/>
  <c r="D11" i="4" l="1"/>
  <c r="L11" i="4" s="1"/>
  <c r="D6" i="4"/>
  <c r="E6" i="4"/>
  <c r="F6" i="4"/>
  <c r="D7" i="4"/>
  <c r="L7" i="4" s="1"/>
  <c r="F7" i="4"/>
  <c r="D8" i="4"/>
  <c r="F8" i="4"/>
  <c r="D9" i="4"/>
  <c r="L9" i="4" s="1"/>
  <c r="F9" i="4"/>
  <c r="F11" i="4"/>
  <c r="D12" i="4"/>
  <c r="L12" i="4" s="1"/>
  <c r="F12" i="4"/>
  <c r="D13" i="4"/>
  <c r="F13" i="4"/>
  <c r="D14" i="4"/>
  <c r="L14" i="4" s="1"/>
  <c r="F14" i="4"/>
  <c r="D15" i="4"/>
  <c r="F15" i="4"/>
  <c r="D16" i="4"/>
  <c r="M16" i="4" s="1"/>
  <c r="F16" i="4"/>
  <c r="C16" i="4"/>
  <c r="C15" i="4"/>
  <c r="C14" i="4"/>
  <c r="C13" i="4"/>
  <c r="C12" i="4"/>
  <c r="C11" i="4"/>
  <c r="C6" i="4"/>
  <c r="C7" i="4"/>
  <c r="C8" i="4"/>
  <c r="C9" i="4"/>
  <c r="B12" i="4"/>
  <c r="B13" i="4"/>
  <c r="B14" i="4"/>
  <c r="B15" i="4"/>
  <c r="B16" i="4"/>
  <c r="B11" i="4"/>
  <c r="B7" i="4"/>
  <c r="B8" i="4"/>
  <c r="B9" i="4"/>
  <c r="B6" i="4"/>
  <c r="F17" i="6"/>
  <c r="F10" i="6"/>
  <c r="E7" i="6"/>
  <c r="E8" i="6" s="1"/>
  <c r="E8" i="4" s="1"/>
  <c r="A7" i="6"/>
  <c r="A8" i="6" s="1"/>
  <c r="A9" i="6" s="1"/>
  <c r="A11" i="6" s="1"/>
  <c r="A12" i="6" s="1"/>
  <c r="A13" i="6" s="1"/>
  <c r="A14" i="6" s="1"/>
  <c r="A15" i="6" s="1"/>
  <c r="A16" i="6" s="1"/>
  <c r="J10" i="4"/>
  <c r="K10" i="4"/>
  <c r="A7" i="4"/>
  <c r="A8" i="4" s="1"/>
  <c r="A9" i="4" s="1"/>
  <c r="A11" i="4" s="1"/>
  <c r="A12" i="4" s="1"/>
  <c r="A13" i="4" s="1"/>
  <c r="A14" i="4" s="1"/>
  <c r="A15" i="4" s="1"/>
  <c r="A16" i="4" s="1"/>
  <c r="M6" i="4" l="1"/>
  <c r="M10" i="4" s="1"/>
  <c r="F10" i="4"/>
  <c r="L16" i="4"/>
  <c r="E7" i="4"/>
  <c r="K17" i="4"/>
  <c r="K18" i="4" s="1"/>
  <c r="F17" i="4"/>
  <c r="G10" i="4"/>
  <c r="F18" i="6"/>
  <c r="L13" i="4"/>
  <c r="L15" i="4"/>
  <c r="L8" i="4"/>
  <c r="L6" i="4"/>
  <c r="E9" i="6"/>
  <c r="E9" i="4" s="1"/>
  <c r="L10" i="4" l="1"/>
  <c r="F18" i="4"/>
  <c r="R14" i="4"/>
  <c r="T9" i="4"/>
  <c r="S9" i="4"/>
  <c r="R9" i="4"/>
  <c r="Q9" i="4"/>
  <c r="T14" i="4"/>
  <c r="J17" i="4"/>
  <c r="J18" i="4" s="1"/>
  <c r="E11" i="6"/>
  <c r="E11" i="4" s="1"/>
  <c r="Q14" i="4" l="1"/>
  <c r="R6" i="4"/>
  <c r="S6" i="4"/>
  <c r="Q6" i="4"/>
  <c r="T6" i="4"/>
  <c r="O7" i="4"/>
  <c r="T7" i="4"/>
  <c r="Q7" i="4"/>
  <c r="S7" i="4"/>
  <c r="R7" i="4"/>
  <c r="T12" i="4"/>
  <c r="R12" i="4"/>
  <c r="Q12" i="4"/>
  <c r="S12" i="4"/>
  <c r="S14" i="4"/>
  <c r="E12" i="6"/>
  <c r="E12" i="4" s="1"/>
  <c r="O8" i="4"/>
  <c r="U6" i="4" l="1"/>
  <c r="P10" i="4"/>
  <c r="U7" i="4"/>
  <c r="E13" i="6"/>
  <c r="E13" i="4" s="1"/>
  <c r="N10" i="4"/>
  <c r="Q8" i="4" l="1"/>
  <c r="S8" i="4"/>
  <c r="T8" i="4"/>
  <c r="R8" i="4"/>
  <c r="R10" i="4" s="1"/>
  <c r="O9" i="4"/>
  <c r="O10" i="4" s="1"/>
  <c r="E14" i="6"/>
  <c r="E14" i="4" s="1"/>
  <c r="O11" i="4"/>
  <c r="T10" i="4" l="1"/>
  <c r="V10" i="4"/>
  <c r="U8" i="4"/>
  <c r="S10" i="4"/>
  <c r="S11" i="4"/>
  <c r="Q10" i="4"/>
  <c r="U9" i="4"/>
  <c r="G17" i="4"/>
  <c r="G18" i="4" s="1"/>
  <c r="E15" i="6"/>
  <c r="E15" i="4" s="1"/>
  <c r="U10" i="4" l="1"/>
  <c r="T11" i="4"/>
  <c r="R11" i="4"/>
  <c r="Q11" i="4"/>
  <c r="O12" i="4"/>
  <c r="U12" i="4" s="1"/>
  <c r="E16" i="6"/>
  <c r="E16" i="4" s="1"/>
  <c r="O13" i="4"/>
  <c r="U11" i="4" l="1"/>
  <c r="S13" i="4"/>
  <c r="O14" i="4" l="1"/>
  <c r="U14" i="4" s="1"/>
  <c r="R13" i="4"/>
  <c r="Q13" i="4"/>
  <c r="T13" i="4"/>
  <c r="O15" i="4"/>
  <c r="O16" i="4"/>
  <c r="U13" i="4" l="1"/>
  <c r="O17" i="4"/>
  <c r="O18" i="4" s="1"/>
  <c r="M17" i="4"/>
  <c r="M18" i="4" s="1"/>
  <c r="N17" i="4"/>
  <c r="N18" i="4" s="1"/>
  <c r="L17" i="4"/>
  <c r="L18" i="4" s="1"/>
  <c r="R15" i="4" l="1"/>
  <c r="Q15" i="4"/>
  <c r="T15" i="4"/>
  <c r="R16" i="4"/>
  <c r="T16" i="4"/>
  <c r="Q16" i="4"/>
  <c r="S15" i="4"/>
  <c r="S16" i="4"/>
  <c r="P17" i="4"/>
  <c r="P18" i="4" s="1"/>
  <c r="U15" i="4" l="1"/>
  <c r="V17" i="4"/>
  <c r="V18" i="4" s="1"/>
  <c r="S17" i="4"/>
  <c r="S18" i="4" s="1"/>
  <c r="U16" i="4"/>
  <c r="Q17" i="4"/>
  <c r="Q18" i="4" s="1"/>
  <c r="R17" i="4"/>
  <c r="R18" i="4" s="1"/>
  <c r="T17" i="4"/>
  <c r="T18" i="4" s="1"/>
  <c r="U17" i="4" l="1"/>
  <c r="U18" i="4" s="1"/>
</calcChain>
</file>

<file path=xl/sharedStrings.xml><?xml version="1.0" encoding="utf-8"?>
<sst xmlns="http://schemas.openxmlformats.org/spreadsheetml/2006/main" count="96" uniqueCount="79">
  <si>
    <t>AREA</t>
  </si>
  <si>
    <t>PUESTO FUNCIONAL</t>
  </si>
  <si>
    <t>SUB-TOTAL</t>
  </si>
  <si>
    <t>TOTAL</t>
  </si>
  <si>
    <t>Gerente de TI</t>
  </si>
  <si>
    <t>Soporte de redes y HW</t>
  </si>
  <si>
    <t>Encargado de almacenaje y seguridad de la información</t>
  </si>
  <si>
    <t>Operaciones</t>
  </si>
  <si>
    <t>Fecha de ingreso a la empresa</t>
  </si>
  <si>
    <t>Gerencia</t>
  </si>
  <si>
    <t>Tiempo en la empresa (años)</t>
  </si>
  <si>
    <t>Total</t>
  </si>
  <si>
    <t>Administrativo</t>
  </si>
  <si>
    <t>Asistente de gerencia</t>
  </si>
  <si>
    <t>Supervisor de occidente</t>
  </si>
  <si>
    <t>Supervisor de oriente</t>
  </si>
  <si>
    <t>Supervisor centro</t>
  </si>
  <si>
    <t>Nº</t>
  </si>
  <si>
    <t>Fecha de corte de la planilla 2024</t>
  </si>
  <si>
    <t>Horas extras diurnas</t>
  </si>
  <si>
    <t>Horas extras nocturnas</t>
  </si>
  <si>
    <t>Sueldo - Salario / Mensual</t>
  </si>
  <si>
    <t>Monto de Vacaciones</t>
  </si>
  <si>
    <t>Mes</t>
  </si>
  <si>
    <t>Bonificación de vacaciones</t>
  </si>
  <si>
    <t>Monto del aguinaldo</t>
  </si>
  <si>
    <t>Bonificación de aguinaldo</t>
  </si>
  <si>
    <t>Viáticos</t>
  </si>
  <si>
    <t>Monto cotizables para cotizaciones</t>
  </si>
  <si>
    <t>AFPS Patronal</t>
  </si>
  <si>
    <t>ISSS Patronal</t>
  </si>
  <si>
    <t>ISSS Empleado</t>
  </si>
  <si>
    <t>AFPS Empleado</t>
  </si>
  <si>
    <t>Monto a depositar al empleado</t>
  </si>
  <si>
    <t>N °</t>
  </si>
  <si>
    <t>Descripción</t>
  </si>
  <si>
    <t>El monto total de las horas extras  diurnas y nocturnas.</t>
  </si>
  <si>
    <t>El monto total del ISSS patronal.</t>
  </si>
  <si>
    <t>El monto total del AFP´S patronal.</t>
  </si>
  <si>
    <t>El monto total del ISSS que paga el empleado.</t>
  </si>
  <si>
    <t>El monto total del AFP´S que paga el empleado.</t>
  </si>
  <si>
    <t>El monto del pago de las vacaciones de ley.</t>
  </si>
  <si>
    <t>El monto adicional a pagar como incentivo en el pago de las vacaciones.</t>
  </si>
  <si>
    <t>El monto del pago del aguinaldo de ley.</t>
  </si>
  <si>
    <t>El monto adicional a pagar como incentivo en el pago del aguinaldo.</t>
  </si>
  <si>
    <t>Considerando las horas extras diurnas y nocturnas y los viáticos el monto total a depositar al empleado.</t>
  </si>
  <si>
    <t>El monto total a depositar en la planilla única</t>
  </si>
  <si>
    <t>Subtotal</t>
  </si>
  <si>
    <t>Técnico de soporte a domicilio-Occidente</t>
  </si>
  <si>
    <t>Técnico de soporte a domicilio-Oriente</t>
  </si>
  <si>
    <t>Técnico de soportea domicilio-Central</t>
  </si>
  <si>
    <t>Planteamiento</t>
  </si>
  <si>
    <t>Solución</t>
  </si>
  <si>
    <t>:</t>
  </si>
  <si>
    <t>Instrucciones:</t>
  </si>
  <si>
    <t>Jornada Laboral</t>
  </si>
  <si>
    <t>6 días / semana</t>
  </si>
  <si>
    <t>Jornada laboral por día</t>
  </si>
  <si>
    <t xml:space="preserve">8 horas </t>
  </si>
  <si>
    <t>Fecha de corte la planilla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</si>
  <si>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b/>
        <sz val="11"/>
        <color theme="1"/>
        <rFont val="Cambria"/>
        <family val="1"/>
      </rPr>
      <t>Información general</t>
    </r>
    <r>
      <rPr>
        <sz val="11"/>
        <color theme="1"/>
        <rFont val="Cambria"/>
        <family val="1"/>
      </rPr>
      <t xml:space="preserve"> :</t>
    </r>
  </si>
  <si>
    <r>
      <t>2.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mbria"/>
        <family val="1"/>
      </rPr>
      <t>Prestaciones de ley y adicionales.</t>
    </r>
  </si>
  <si>
    <t>Se posee la planilla de empleados que se presenta en la tabla 1, donde se cumplen las siguientes prestaciones:</t>
  </si>
  <si>
    <r>
      <t>1.2</t>
    </r>
    <r>
      <rPr>
        <b/>
        <sz val="7"/>
        <color theme="1"/>
        <rFont val="Times New Roman"/>
        <family val="1"/>
      </rPr>
      <t xml:space="preserve">             </t>
    </r>
    <r>
      <rPr>
        <sz val="11"/>
        <color theme="1"/>
        <rFont val="Cambria"/>
        <family val="1"/>
      </rPr>
      <t>El pago de vacaciones se aplica según los siguientes incentivos:</t>
    </r>
  </si>
  <si>
    <r>
      <t>1.2.1</t>
    </r>
    <r>
      <rPr>
        <b/>
        <sz val="7"/>
        <color theme="1"/>
        <rFont val="Times New Roman"/>
        <family val="1"/>
      </rPr>
      <t xml:space="preserve">       </t>
    </r>
    <r>
      <rPr>
        <sz val="11"/>
        <color theme="1"/>
        <rFont val="Cambria"/>
        <family val="1"/>
      </rPr>
      <t>Para empleados que hayan laborado para la empresa menor o igual a 2 años, se cancelara la prestación según el art. 177 del Código de trabajo.</t>
    </r>
  </si>
  <si>
    <r>
      <t>1.3</t>
    </r>
    <r>
      <rPr>
        <b/>
        <sz val="7"/>
        <color theme="1"/>
        <rFont val="Times New Roman"/>
        <family val="1"/>
      </rPr>
      <t xml:space="preserve">             </t>
    </r>
    <r>
      <rPr>
        <sz val="11"/>
        <color theme="1"/>
        <rFont val="Cambria"/>
        <family val="1"/>
      </rPr>
      <t>El aguinaldo se aplica de la siguiente forma:</t>
    </r>
  </si>
  <si>
    <r>
      <t>1.4</t>
    </r>
    <r>
      <rPr>
        <b/>
        <sz val="7"/>
        <color theme="1"/>
        <rFont val="Times New Roman"/>
        <family val="1"/>
      </rPr>
      <t xml:space="preserve">             </t>
    </r>
    <r>
      <rPr>
        <sz val="11"/>
        <color theme="1"/>
        <rFont val="Cambria"/>
        <family val="1"/>
      </rPr>
      <t>Se brindan las siguientes prestaciones contractuales adicionales:</t>
    </r>
  </si>
  <si>
    <t>Planilla Diciembre 2025</t>
  </si>
  <si>
    <t>Mes de diciembre 2025</t>
  </si>
  <si>
    <t>Se presenta la planilla de pago de un departamento para el mes de diciembre de 2025. Considerar las siguientes instrucciones antes de determinar lo que se solicita.</t>
  </si>
  <si>
    <r>
      <t>1.1</t>
    </r>
    <r>
      <rPr>
        <b/>
        <sz val="7"/>
        <color theme="1"/>
        <rFont val="Times New Roman"/>
        <family val="1"/>
      </rPr>
      <t xml:space="preserve">             </t>
    </r>
    <r>
      <rPr>
        <sz val="11"/>
        <color theme="1"/>
        <rFont val="Cambria"/>
        <family val="1"/>
      </rPr>
      <t xml:space="preserve">La empresa cumple con las prestaciones mínimas de ley: Séptimo, vacación, aguinaldo, ISSS y AFP´s </t>
    </r>
    <r>
      <rPr>
        <b/>
        <sz val="11"/>
        <color theme="1"/>
        <rFont val="Cambria"/>
        <family val="1"/>
      </rPr>
      <t>a excepción de INCAF</t>
    </r>
  </si>
  <si>
    <r>
      <t>1.3.1</t>
    </r>
    <r>
      <rPr>
        <b/>
        <sz val="7"/>
        <color theme="1"/>
        <rFont val="Times New Roman"/>
        <family val="1"/>
      </rPr>
      <t xml:space="preserve">       </t>
    </r>
    <r>
      <rPr>
        <sz val="11"/>
        <color theme="1"/>
        <rFont val="Cambria"/>
        <family val="1"/>
      </rPr>
      <t xml:space="preserve">Menor o igual a 3 años de permanencia continua en la empresa, se cancela aguinaldo según el art. 197 del Código de trabajo </t>
    </r>
    <r>
      <rPr>
        <b/>
        <sz val="11"/>
        <color theme="1"/>
        <rFont val="Cambria"/>
        <family val="1"/>
      </rPr>
      <t>según reforma octubre 2025</t>
    </r>
  </si>
  <si>
    <t>Fecha de corte de la planilla 2025</t>
  </si>
  <si>
    <r>
      <t>1.3.2</t>
    </r>
    <r>
      <rPr>
        <b/>
        <sz val="7"/>
        <color theme="1"/>
        <rFont val="Times New Roman"/>
        <family val="1"/>
      </rPr>
      <t xml:space="preserve">       </t>
    </r>
    <r>
      <rPr>
        <sz val="11"/>
        <color theme="1"/>
        <rFont val="Cambria"/>
        <family val="1"/>
      </rPr>
      <t xml:space="preserve">Con permanencia continua mayor a 3 años se cancela aguinaldo según el art. 197 del Código de trabajo más un adicional para llegar al 100% del salario bruto mensual, </t>
    </r>
    <r>
      <rPr>
        <b/>
        <sz val="11"/>
        <color theme="1"/>
        <rFont val="Cambria"/>
        <family val="1"/>
      </rPr>
      <t>según reforma octubre 2025</t>
    </r>
  </si>
  <si>
    <t>Monto a depositar planilla única</t>
  </si>
  <si>
    <r>
      <t>1.2.2</t>
    </r>
    <r>
      <rPr>
        <b/>
        <sz val="7"/>
        <color theme="1"/>
        <rFont val="Times New Roman"/>
        <family val="1"/>
      </rPr>
      <t xml:space="preserve">       </t>
    </r>
    <r>
      <rPr>
        <sz val="11"/>
        <color theme="1"/>
        <rFont val="Cambria"/>
        <family val="1"/>
      </rPr>
      <t>Para empleados que hayan laborado entre 2 a 5 años, se les cancela la prestación según el art. 177 del Código de trabajo más porcentaje adicional del 10 % de una quincena.</t>
    </r>
  </si>
  <si>
    <r>
      <t>1.2.3</t>
    </r>
    <r>
      <rPr>
        <b/>
        <sz val="7"/>
        <color theme="1"/>
        <rFont val="Times New Roman"/>
        <family val="1"/>
      </rPr>
      <t xml:space="preserve">       </t>
    </r>
    <r>
      <rPr>
        <sz val="11"/>
        <color theme="1"/>
        <rFont val="Cambria"/>
        <family val="1"/>
      </rPr>
      <t>Mayor a 5 años de permanencia continua en la empresa, se le cancela la prestación según el art. 177 del Código de trabajo más un porcentaje adicional del 15% de una quincena</t>
    </r>
  </si>
  <si>
    <r>
      <t>1.4.1</t>
    </r>
    <r>
      <rPr>
        <b/>
        <sz val="7"/>
        <color theme="1"/>
        <rFont val="Times New Roman"/>
        <family val="1"/>
      </rPr>
      <t xml:space="preserve">       </t>
    </r>
    <r>
      <rPr>
        <sz val="11"/>
        <color theme="1"/>
        <rFont val="Cambria"/>
        <family val="1"/>
      </rPr>
      <t xml:space="preserve">Se le proporciona un viatico mensual al personal administrativo de $ 20 y de $ 35 al personal de operaciones  </t>
    </r>
  </si>
  <si>
    <r>
      <t>1.4.2</t>
    </r>
    <r>
      <rPr>
        <b/>
        <sz val="7"/>
        <color theme="1"/>
        <rFont val="Times New Roman"/>
        <family val="1"/>
      </rPr>
      <t xml:space="preserve">       </t>
    </r>
    <r>
      <rPr>
        <sz val="11"/>
        <color theme="1"/>
        <rFont val="Cambria"/>
        <family val="1"/>
      </rPr>
      <t>Existe autorizadas de 20 horas extras diurnas y 5 horas extras nocturnas por mes solamente para el personal de operativo. (no incluye supervisores)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</si>
</sst>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164" fontId="2" fillId="3" borderId="1" xfId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165" fontId="0" fillId="0" borderId="3" xfId="0" applyNumberFormat="1" applyBorder="1" applyAlignment="1">
      <alignment horizontal="center" vertical="center" wrapText="1"/>
    </xf>
    <xf numFmtId="165" fontId="2" fillId="4" borderId="3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0" fillId="0" borderId="0" xfId="1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2" fillId="3" borderId="1" xfId="1" applyFont="1" applyFill="1" applyBorder="1" applyAlignment="1"/>
    <xf numFmtId="0" fontId="3" fillId="2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10" fontId="2" fillId="5" borderId="1" xfId="0" applyNumberFormat="1" applyFont="1" applyFill="1" applyBorder="1" applyAlignment="1">
      <alignment horizontal="center" vertical="center"/>
    </xf>
    <xf numFmtId="10" fontId="2" fillId="0" borderId="0" xfId="2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vertical="center" wrapText="1"/>
    </xf>
    <xf numFmtId="164" fontId="2" fillId="3" borderId="2" xfId="1" applyFont="1" applyFill="1" applyBorder="1" applyAlignment="1">
      <alignment horizontal="center"/>
    </xf>
    <xf numFmtId="165" fontId="2" fillId="4" borderId="2" xfId="0" applyNumberFormat="1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 wrapText="1"/>
    </xf>
    <xf numFmtId="165" fontId="6" fillId="3" borderId="3" xfId="0" applyNumberFormat="1" applyFont="1" applyFill="1" applyBorder="1" applyAlignment="1">
      <alignment horizontal="center" vertical="center" wrapText="1"/>
    </xf>
    <xf numFmtId="164" fontId="2" fillId="3" borderId="3" xfId="1" applyFont="1" applyFill="1" applyBorder="1" applyAlignment="1">
      <alignment horizontal="center"/>
    </xf>
    <xf numFmtId="10" fontId="2" fillId="5" borderId="4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165" fontId="0" fillId="0" borderId="6" xfId="0" applyNumberFormat="1" applyBorder="1" applyAlignment="1">
      <alignment vertical="center" wrapText="1"/>
    </xf>
    <xf numFmtId="164" fontId="2" fillId="3" borderId="6" xfId="1" applyFont="1" applyFill="1" applyBorder="1" applyAlignment="1">
      <alignment horizontal="center"/>
    </xf>
    <xf numFmtId="165" fontId="2" fillId="4" borderId="7" xfId="0" applyNumberFormat="1" applyFont="1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0" fillId="2" borderId="1" xfId="0" applyFill="1" applyBorder="1"/>
    <xf numFmtId="0" fontId="7" fillId="0" borderId="0" xfId="0" applyFont="1" applyAlignment="1">
      <alignment horizontal="justify" vertical="center"/>
    </xf>
    <xf numFmtId="0" fontId="8" fillId="0" borderId="0" xfId="0" applyFont="1" applyAlignment="1">
      <alignment horizontal="justify" vertical="center" wrapText="1"/>
    </xf>
    <xf numFmtId="164" fontId="0" fillId="0" borderId="0" xfId="1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vertical="center" wrapText="1"/>
    </xf>
    <xf numFmtId="0" fontId="7" fillId="2" borderId="0" xfId="0" applyFont="1" applyFill="1" applyAlignment="1">
      <alignment horizontal="left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3300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42"/>
  <sheetViews>
    <sheetView topLeftCell="A27" workbookViewId="0">
      <selection activeCell="C32" sqref="C32:E32"/>
    </sheetView>
  </sheetViews>
  <sheetFormatPr baseColWidth="10" defaultRowHeight="15" x14ac:dyDescent="0.25"/>
  <cols>
    <col min="2" max="2" width="3.85546875" bestFit="1" customWidth="1"/>
    <col min="3" max="3" width="21.85546875" customWidth="1"/>
    <col min="4" max="4" width="1.85546875" style="14" bestFit="1" customWidth="1"/>
    <col min="5" max="5" width="40.42578125" customWidth="1"/>
    <col min="6" max="6" width="11.42578125" style="8"/>
  </cols>
  <sheetData>
    <row r="3" spans="2:5" x14ac:dyDescent="0.25">
      <c r="C3" s="55" t="s">
        <v>54</v>
      </c>
    </row>
    <row r="4" spans="2:5" ht="45" customHeight="1" x14ac:dyDescent="0.25">
      <c r="C4" s="60" t="s">
        <v>69</v>
      </c>
      <c r="D4" s="60"/>
      <c r="E4" s="60"/>
    </row>
    <row r="6" spans="2:5" x14ac:dyDescent="0.25">
      <c r="C6" s="61" t="s">
        <v>60</v>
      </c>
      <c r="D6" s="61"/>
      <c r="E6" s="61"/>
    </row>
    <row r="8" spans="2:5" x14ac:dyDescent="0.25">
      <c r="B8" s="56">
        <v>1</v>
      </c>
      <c r="C8" s="56" t="s">
        <v>55</v>
      </c>
      <c r="D8" s="56" t="s">
        <v>53</v>
      </c>
      <c r="E8" s="56" t="s">
        <v>56</v>
      </c>
    </row>
    <row r="9" spans="2:5" x14ac:dyDescent="0.25">
      <c r="B9" s="56">
        <v>2</v>
      </c>
      <c r="C9" s="56" t="s">
        <v>57</v>
      </c>
      <c r="D9" s="56" t="s">
        <v>53</v>
      </c>
      <c r="E9" s="56" t="s">
        <v>58</v>
      </c>
    </row>
    <row r="10" spans="2:5" ht="28.5" x14ac:dyDescent="0.25">
      <c r="B10" s="56">
        <v>3</v>
      </c>
      <c r="C10" s="56" t="s">
        <v>59</v>
      </c>
      <c r="D10" s="56" t="s">
        <v>53</v>
      </c>
      <c r="E10" s="56" t="s">
        <v>68</v>
      </c>
    </row>
    <row r="12" spans="2:5" x14ac:dyDescent="0.25">
      <c r="C12" s="62" t="s">
        <v>61</v>
      </c>
      <c r="D12" s="62"/>
      <c r="E12" s="62"/>
    </row>
    <row r="15" spans="2:5" ht="46.5" customHeight="1" x14ac:dyDescent="0.25">
      <c r="C15" s="60" t="s">
        <v>62</v>
      </c>
      <c r="D15" s="60"/>
      <c r="E15" s="60"/>
    </row>
    <row r="16" spans="2:5" ht="42.75" customHeight="1" x14ac:dyDescent="0.25">
      <c r="C16" s="59" t="s">
        <v>70</v>
      </c>
      <c r="D16" s="59"/>
      <c r="E16" s="59"/>
    </row>
    <row r="17" spans="2:5" ht="42" customHeight="1" x14ac:dyDescent="0.25">
      <c r="C17" s="59" t="s">
        <v>63</v>
      </c>
      <c r="D17" s="59"/>
      <c r="E17" s="59"/>
    </row>
    <row r="18" spans="2:5" ht="42" customHeight="1" x14ac:dyDescent="0.25">
      <c r="C18" s="59" t="s">
        <v>64</v>
      </c>
      <c r="D18" s="59"/>
      <c r="E18" s="59"/>
    </row>
    <row r="19" spans="2:5" ht="42" customHeight="1" x14ac:dyDescent="0.25">
      <c r="C19" s="59" t="s">
        <v>75</v>
      </c>
      <c r="D19" s="59"/>
      <c r="E19" s="59"/>
    </row>
    <row r="20" spans="2:5" ht="42" customHeight="1" x14ac:dyDescent="0.25">
      <c r="C20" s="59" t="s">
        <v>76</v>
      </c>
      <c r="D20" s="59"/>
      <c r="E20" s="59"/>
    </row>
    <row r="21" spans="2:5" ht="42" customHeight="1" x14ac:dyDescent="0.25">
      <c r="C21" s="64" t="s">
        <v>65</v>
      </c>
      <c r="D21" s="64"/>
      <c r="E21" s="64"/>
    </row>
    <row r="22" spans="2:5" ht="42" customHeight="1" x14ac:dyDescent="0.25">
      <c r="C22" s="64" t="s">
        <v>71</v>
      </c>
      <c r="D22" s="64"/>
      <c r="E22" s="64"/>
    </row>
    <row r="23" spans="2:5" ht="42" customHeight="1" x14ac:dyDescent="0.25">
      <c r="C23" s="59" t="s">
        <v>73</v>
      </c>
      <c r="D23" s="59"/>
      <c r="E23" s="59"/>
    </row>
    <row r="24" spans="2:5" ht="42" customHeight="1" x14ac:dyDescent="0.25">
      <c r="C24" s="59" t="s">
        <v>66</v>
      </c>
      <c r="D24" s="59"/>
      <c r="E24" s="59"/>
    </row>
    <row r="25" spans="2:5" ht="42" customHeight="1" x14ac:dyDescent="0.25">
      <c r="C25" s="59" t="s">
        <v>77</v>
      </c>
      <c r="D25" s="59"/>
      <c r="E25" s="59"/>
    </row>
    <row r="26" spans="2:5" ht="42" customHeight="1" x14ac:dyDescent="0.25">
      <c r="C26" s="59" t="s">
        <v>78</v>
      </c>
      <c r="D26" s="59"/>
      <c r="E26" s="59"/>
    </row>
    <row r="31" spans="2:5" ht="28.5" x14ac:dyDescent="0.25">
      <c r="B31" s="38" t="s">
        <v>34</v>
      </c>
      <c r="C31" s="58" t="s">
        <v>35</v>
      </c>
      <c r="D31" s="58"/>
      <c r="E31" s="58"/>
    </row>
    <row r="32" spans="2:5" x14ac:dyDescent="0.25">
      <c r="B32" s="38">
        <v>1</v>
      </c>
      <c r="C32" s="63" t="s">
        <v>36</v>
      </c>
      <c r="D32" s="63"/>
      <c r="E32" s="63"/>
    </row>
    <row r="33" spans="2:5" x14ac:dyDescent="0.25">
      <c r="B33" s="38">
        <v>2</v>
      </c>
      <c r="C33" s="63" t="s">
        <v>41</v>
      </c>
      <c r="D33" s="63"/>
      <c r="E33" s="63"/>
    </row>
    <row r="34" spans="2:5" x14ac:dyDescent="0.25">
      <c r="B34" s="38">
        <v>3</v>
      </c>
      <c r="C34" s="63" t="s">
        <v>42</v>
      </c>
      <c r="D34" s="63"/>
      <c r="E34" s="63"/>
    </row>
    <row r="35" spans="2:5" x14ac:dyDescent="0.25">
      <c r="B35" s="38">
        <v>4</v>
      </c>
      <c r="C35" s="63" t="s">
        <v>43</v>
      </c>
      <c r="D35" s="63"/>
      <c r="E35" s="63"/>
    </row>
    <row r="36" spans="2:5" x14ac:dyDescent="0.25">
      <c r="B36" s="38">
        <v>5</v>
      </c>
      <c r="C36" s="63" t="s">
        <v>44</v>
      </c>
      <c r="D36" s="63"/>
      <c r="E36" s="63"/>
    </row>
    <row r="37" spans="2:5" x14ac:dyDescent="0.25">
      <c r="B37" s="38">
        <v>6</v>
      </c>
      <c r="C37" s="63" t="s">
        <v>37</v>
      </c>
      <c r="D37" s="63"/>
      <c r="E37" s="63"/>
    </row>
    <row r="38" spans="2:5" x14ac:dyDescent="0.25">
      <c r="B38" s="38">
        <v>7</v>
      </c>
      <c r="C38" s="63" t="s">
        <v>38</v>
      </c>
      <c r="D38" s="63"/>
      <c r="E38" s="63"/>
    </row>
    <row r="39" spans="2:5" x14ac:dyDescent="0.25">
      <c r="B39" s="38">
        <v>8</v>
      </c>
      <c r="C39" s="63" t="s">
        <v>39</v>
      </c>
      <c r="D39" s="63"/>
      <c r="E39" s="63"/>
    </row>
    <row r="40" spans="2:5" x14ac:dyDescent="0.25">
      <c r="B40" s="38">
        <v>9</v>
      </c>
      <c r="C40" s="63" t="s">
        <v>40</v>
      </c>
      <c r="D40" s="63"/>
      <c r="E40" s="63"/>
    </row>
    <row r="41" spans="2:5" x14ac:dyDescent="0.25">
      <c r="B41" s="38">
        <v>10</v>
      </c>
      <c r="C41" s="63" t="s">
        <v>45</v>
      </c>
      <c r="D41" s="63"/>
      <c r="E41" s="63"/>
    </row>
    <row r="42" spans="2:5" ht="15" customHeight="1" x14ac:dyDescent="0.25">
      <c r="B42" s="38">
        <v>11</v>
      </c>
      <c r="C42" s="63" t="s">
        <v>46</v>
      </c>
      <c r="D42" s="63"/>
      <c r="E42" s="63"/>
    </row>
  </sheetData>
  <mergeCells count="27">
    <mergeCell ref="C4:E4"/>
    <mergeCell ref="C6:E6"/>
    <mergeCell ref="C12:E12"/>
    <mergeCell ref="C15:E15"/>
    <mergeCell ref="C16:E16"/>
    <mergeCell ref="C17:E17"/>
    <mergeCell ref="C18:E18"/>
    <mergeCell ref="C19:E19"/>
    <mergeCell ref="C20:E20"/>
    <mergeCell ref="C26:E26"/>
    <mergeCell ref="C21:E21"/>
    <mergeCell ref="C22:E22"/>
    <mergeCell ref="C23:E23"/>
    <mergeCell ref="C24:E24"/>
    <mergeCell ref="C25:E25"/>
    <mergeCell ref="C31:E31"/>
    <mergeCell ref="C32:E32"/>
    <mergeCell ref="C33:E33"/>
    <mergeCell ref="C34:E34"/>
    <mergeCell ref="C35:E35"/>
    <mergeCell ref="C41:E41"/>
    <mergeCell ref="C42:E42"/>
    <mergeCell ref="C36:E36"/>
    <mergeCell ref="C37:E37"/>
    <mergeCell ref="C38:E38"/>
    <mergeCell ref="C39:E39"/>
    <mergeCell ref="C40:E40"/>
  </mergeCells>
  <dataValidations count="1">
    <dataValidation type="textLength" operator="equal" allowBlank="1" showInputMessage="1" showErrorMessage="1" sqref="B31:C42" xr:uid="{B2AC17C9-1910-4260-AA3A-E76C21A97FA1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14A74-6763-4EAC-B4D1-B2430F5A4CAB}">
  <dimension ref="A1:J18"/>
  <sheetViews>
    <sheetView topLeftCell="A5" workbookViewId="0">
      <selection activeCell="G6" sqref="G6"/>
    </sheetView>
  </sheetViews>
  <sheetFormatPr baseColWidth="10" defaultRowHeight="15" x14ac:dyDescent="0.25"/>
  <cols>
    <col min="1" max="1" width="3.42578125" bestFit="1" customWidth="1"/>
    <col min="2" max="2" width="15" customWidth="1"/>
    <col min="3" max="3" width="28.140625" bestFit="1" customWidth="1"/>
    <col min="4" max="5" width="12.28515625" customWidth="1"/>
    <col min="7" max="8" width="13.140625" customWidth="1"/>
    <col min="10" max="10" width="12.5703125" bestFit="1" customWidth="1"/>
  </cols>
  <sheetData>
    <row r="1" spans="1:10" x14ac:dyDescent="0.25">
      <c r="G1" s="24"/>
      <c r="H1" s="24"/>
    </row>
    <row r="2" spans="1:10" x14ac:dyDescent="0.25">
      <c r="G2" s="25"/>
      <c r="H2" s="25"/>
    </row>
    <row r="4" spans="1:10" ht="28.5" x14ac:dyDescent="0.25">
      <c r="B4" s="34" t="s">
        <v>67</v>
      </c>
      <c r="C4" s="34"/>
    </row>
    <row r="5" spans="1:10" ht="45" x14ac:dyDescent="0.25">
      <c r="A5" s="1" t="s">
        <v>17</v>
      </c>
      <c r="B5" s="1" t="s">
        <v>0</v>
      </c>
      <c r="C5" s="28" t="s">
        <v>1</v>
      </c>
      <c r="D5" s="1" t="s">
        <v>8</v>
      </c>
      <c r="E5" s="1" t="s">
        <v>72</v>
      </c>
      <c r="F5" s="1" t="s">
        <v>21</v>
      </c>
    </row>
    <row r="6" spans="1:10" x14ac:dyDescent="0.25">
      <c r="A6" s="3">
        <v>1</v>
      </c>
      <c r="B6" s="26" t="s">
        <v>9</v>
      </c>
      <c r="C6" s="29" t="s">
        <v>4</v>
      </c>
      <c r="D6" s="10">
        <v>41244</v>
      </c>
      <c r="E6" s="10">
        <v>46022</v>
      </c>
      <c r="F6" s="2">
        <v>1400</v>
      </c>
    </row>
    <row r="7" spans="1:10" x14ac:dyDescent="0.25">
      <c r="A7" s="3">
        <f>+A6+1</f>
        <v>2</v>
      </c>
      <c r="B7" s="26" t="s">
        <v>12</v>
      </c>
      <c r="C7" s="29" t="s">
        <v>13</v>
      </c>
      <c r="D7" s="10">
        <v>43337</v>
      </c>
      <c r="E7" s="10">
        <f>+E6</f>
        <v>46022</v>
      </c>
      <c r="F7" s="2">
        <v>675</v>
      </c>
    </row>
    <row r="8" spans="1:10" x14ac:dyDescent="0.25">
      <c r="A8" s="3">
        <f t="shared" ref="A8:A16" si="0">+A7+1</f>
        <v>3</v>
      </c>
      <c r="B8" s="26" t="s">
        <v>12</v>
      </c>
      <c r="C8" s="29" t="s">
        <v>5</v>
      </c>
      <c r="D8" s="10">
        <v>43801</v>
      </c>
      <c r="E8" s="10">
        <f t="shared" ref="E8:E9" si="1">+E7</f>
        <v>46022</v>
      </c>
      <c r="F8" s="2">
        <v>675</v>
      </c>
    </row>
    <row r="9" spans="1:10" s="13" customFormat="1" ht="30" x14ac:dyDescent="0.25">
      <c r="A9" s="3">
        <f t="shared" si="0"/>
        <v>4</v>
      </c>
      <c r="B9" s="27" t="s">
        <v>12</v>
      </c>
      <c r="C9" s="30" t="s">
        <v>6</v>
      </c>
      <c r="D9" s="12">
        <v>44146</v>
      </c>
      <c r="E9" s="10">
        <f t="shared" si="1"/>
        <v>46022</v>
      </c>
      <c r="F9" s="2">
        <v>700</v>
      </c>
      <c r="G9"/>
      <c r="H9"/>
      <c r="I9"/>
      <c r="J9"/>
    </row>
    <row r="10" spans="1:10" x14ac:dyDescent="0.25">
      <c r="A10" s="3"/>
      <c r="B10" s="26"/>
      <c r="C10" s="22"/>
      <c r="D10" s="23"/>
      <c r="E10" s="17" t="s">
        <v>47</v>
      </c>
      <c r="F10" s="5">
        <f>SUM(F6:F9)</f>
        <v>3450</v>
      </c>
    </row>
    <row r="11" spans="1:10" x14ac:dyDescent="0.25">
      <c r="A11" s="3">
        <f>+A9+1</f>
        <v>5</v>
      </c>
      <c r="B11" s="26" t="s">
        <v>7</v>
      </c>
      <c r="C11" s="30" t="s">
        <v>14</v>
      </c>
      <c r="D11" s="12">
        <v>42922</v>
      </c>
      <c r="E11" s="10">
        <f>+E9</f>
        <v>46022</v>
      </c>
      <c r="F11" s="2">
        <v>650</v>
      </c>
    </row>
    <row r="12" spans="1:10" x14ac:dyDescent="0.25">
      <c r="A12" s="3">
        <f t="shared" si="0"/>
        <v>6</v>
      </c>
      <c r="B12" s="26" t="s">
        <v>7</v>
      </c>
      <c r="C12" s="30" t="s">
        <v>15</v>
      </c>
      <c r="D12" s="12">
        <v>43897</v>
      </c>
      <c r="E12" s="10">
        <f>+E11</f>
        <v>46022</v>
      </c>
      <c r="F12" s="2">
        <v>650</v>
      </c>
    </row>
    <row r="13" spans="1:10" x14ac:dyDescent="0.25">
      <c r="A13" s="3">
        <f t="shared" si="0"/>
        <v>7</v>
      </c>
      <c r="B13" s="26" t="s">
        <v>7</v>
      </c>
      <c r="C13" s="30" t="s">
        <v>16</v>
      </c>
      <c r="D13" s="12">
        <v>43807</v>
      </c>
      <c r="E13" s="10">
        <f t="shared" ref="E13:E16" si="2">+E12</f>
        <v>46022</v>
      </c>
      <c r="F13" s="2">
        <v>650</v>
      </c>
    </row>
    <row r="14" spans="1:10" ht="30" x14ac:dyDescent="0.25">
      <c r="A14" s="3">
        <f t="shared" si="0"/>
        <v>8</v>
      </c>
      <c r="B14" s="26" t="s">
        <v>7</v>
      </c>
      <c r="C14" s="30" t="s">
        <v>48</v>
      </c>
      <c r="D14" s="12">
        <v>42560</v>
      </c>
      <c r="E14" s="10">
        <f t="shared" si="2"/>
        <v>46022</v>
      </c>
      <c r="F14" s="2">
        <v>500</v>
      </c>
    </row>
    <row r="15" spans="1:10" ht="30" x14ac:dyDescent="0.25">
      <c r="A15" s="3">
        <f t="shared" si="0"/>
        <v>9</v>
      </c>
      <c r="B15" s="26" t="s">
        <v>7</v>
      </c>
      <c r="C15" s="30" t="s">
        <v>49</v>
      </c>
      <c r="D15" s="12">
        <v>42339</v>
      </c>
      <c r="E15" s="10">
        <f t="shared" si="2"/>
        <v>46022</v>
      </c>
      <c r="F15" s="2">
        <v>500</v>
      </c>
    </row>
    <row r="16" spans="1:10" ht="30" x14ac:dyDescent="0.25">
      <c r="A16" s="3">
        <f t="shared" si="0"/>
        <v>10</v>
      </c>
      <c r="B16" s="26" t="s">
        <v>7</v>
      </c>
      <c r="C16" s="30" t="s">
        <v>50</v>
      </c>
      <c r="D16" s="12">
        <v>45231</v>
      </c>
      <c r="E16" s="10">
        <f t="shared" si="2"/>
        <v>46022</v>
      </c>
      <c r="F16" s="18">
        <v>500</v>
      </c>
    </row>
    <row r="17" spans="3:6" x14ac:dyDescent="0.25">
      <c r="C17" s="16"/>
      <c r="D17" s="17"/>
      <c r="E17" s="39" t="s">
        <v>47</v>
      </c>
      <c r="F17" s="33">
        <f>SUM(F11:F16)</f>
        <v>3450</v>
      </c>
    </row>
    <row r="18" spans="3:6" x14ac:dyDescent="0.25">
      <c r="D18" s="17"/>
      <c r="E18" s="9" t="s">
        <v>11</v>
      </c>
      <c r="F18" s="7">
        <f>F10+F17</f>
        <v>6900</v>
      </c>
    </row>
  </sheetData>
  <pageMargins left="0.70866141732283472" right="0.45" top="0.48" bottom="0.61" header="0.31496062992125984" footer="0.31496062992125984"/>
  <pageSetup scale="85" orientation="landscape" r:id="rId1"/>
  <headerFooter>
    <oddFooter>&amp;L&amp;P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85B6E-1D3B-4953-9F63-2221CC991262}">
  <dimension ref="A1:AB23"/>
  <sheetViews>
    <sheetView tabSelected="1" workbookViewId="0">
      <selection activeCell="Q6" sqref="Q6"/>
    </sheetView>
  </sheetViews>
  <sheetFormatPr baseColWidth="10" defaultRowHeight="15" x14ac:dyDescent="0.25"/>
  <cols>
    <col min="1" max="1" width="3.42578125" bestFit="1" customWidth="1"/>
    <col min="2" max="2" width="15" customWidth="1"/>
    <col min="3" max="3" width="28.140625" bestFit="1" customWidth="1"/>
    <col min="4" max="4" width="11" bestFit="1" customWidth="1"/>
    <col min="5" max="5" width="14.140625" bestFit="1" customWidth="1"/>
    <col min="6" max="6" width="10.5703125" bestFit="1" customWidth="1"/>
    <col min="7" max="7" width="9" bestFit="1" customWidth="1"/>
    <col min="8" max="8" width="4.85546875" bestFit="1" customWidth="1"/>
    <col min="9" max="9" width="11.5703125" bestFit="1" customWidth="1"/>
    <col min="10" max="11" width="11.85546875" bestFit="1" customWidth="1"/>
    <col min="12" max="12" width="10.85546875" bestFit="1" customWidth="1"/>
    <col min="13" max="13" width="11.85546875" bestFit="1" customWidth="1"/>
    <col min="14" max="14" width="10.5703125" bestFit="1" customWidth="1"/>
    <col min="15" max="15" width="12.42578125" bestFit="1" customWidth="1"/>
    <col min="16" max="16" width="11.85546875" bestFit="1" customWidth="1"/>
    <col min="17" max="17" width="9" bestFit="1" customWidth="1"/>
    <col min="18" max="18" width="11.85546875" customWidth="1"/>
    <col min="19" max="19" width="9.85546875" bestFit="1" customWidth="1"/>
    <col min="20" max="20" width="9" bestFit="1" customWidth="1"/>
    <col min="21" max="21" width="11.5703125" bestFit="1" customWidth="1"/>
    <col min="22" max="22" width="10.7109375" bestFit="1" customWidth="1"/>
    <col min="23" max="23" width="13.140625" bestFit="1" customWidth="1"/>
    <col min="24" max="26" width="13.140625" customWidth="1"/>
    <col min="28" max="28" width="12.5703125" bestFit="1" customWidth="1"/>
  </cols>
  <sheetData>
    <row r="1" spans="1:28" x14ac:dyDescent="0.25">
      <c r="D1" s="54"/>
      <c r="E1" s="8" t="s">
        <v>51</v>
      </c>
      <c r="W1" s="24"/>
      <c r="X1" s="24"/>
      <c r="Y1" s="24"/>
      <c r="Z1" s="24"/>
    </row>
    <row r="2" spans="1:28" ht="15.75" customHeight="1" x14ac:dyDescent="0.25">
      <c r="D2" s="35"/>
      <c r="E2" s="8" t="s">
        <v>52</v>
      </c>
      <c r="W2" s="25"/>
      <c r="X2" s="25"/>
      <c r="Y2" s="25"/>
      <c r="Z2" s="25"/>
    </row>
    <row r="3" spans="1:28" x14ac:dyDescent="0.25">
      <c r="Q3" s="37">
        <v>7.4999999999999997E-2</v>
      </c>
      <c r="R3" s="37">
        <v>8.7499999999999994E-2</v>
      </c>
      <c r="S3" s="37">
        <v>0.03</v>
      </c>
      <c r="T3" s="37">
        <v>7.2499999999999995E-2</v>
      </c>
    </row>
    <row r="4" spans="1:28" ht="29.25" thickBot="1" x14ac:dyDescent="0.3">
      <c r="B4" s="34" t="s">
        <v>67</v>
      </c>
      <c r="C4" s="34"/>
      <c r="D4" s="53"/>
      <c r="E4" s="53"/>
      <c r="F4" s="53"/>
      <c r="G4" s="53"/>
      <c r="H4" s="35"/>
      <c r="I4" s="35"/>
      <c r="J4" s="36"/>
      <c r="K4" s="36"/>
      <c r="L4" s="36"/>
      <c r="M4" s="36"/>
      <c r="N4" s="36"/>
      <c r="O4" s="36"/>
      <c r="P4" s="47"/>
      <c r="Q4" s="36"/>
      <c r="R4" s="36"/>
      <c r="S4" s="36"/>
      <c r="T4" s="36"/>
      <c r="U4" s="36"/>
      <c r="V4" s="36"/>
    </row>
    <row r="5" spans="1:28" ht="60" x14ac:dyDescent="0.25">
      <c r="A5" s="1" t="s">
        <v>17</v>
      </c>
      <c r="B5" s="1" t="s">
        <v>0</v>
      </c>
      <c r="C5" s="28" t="s">
        <v>1</v>
      </c>
      <c r="D5" s="1" t="s">
        <v>8</v>
      </c>
      <c r="E5" s="1" t="s">
        <v>18</v>
      </c>
      <c r="F5" s="1" t="s">
        <v>21</v>
      </c>
      <c r="G5" s="1" t="s">
        <v>27</v>
      </c>
      <c r="H5" s="31" t="s">
        <v>23</v>
      </c>
      <c r="I5" s="31" t="s">
        <v>10</v>
      </c>
      <c r="J5" s="31" t="s">
        <v>19</v>
      </c>
      <c r="K5" s="31" t="s">
        <v>20</v>
      </c>
      <c r="L5" s="31" t="s">
        <v>22</v>
      </c>
      <c r="M5" s="31" t="s">
        <v>24</v>
      </c>
      <c r="N5" s="31" t="s">
        <v>25</v>
      </c>
      <c r="O5" s="40" t="s">
        <v>26</v>
      </c>
      <c r="P5" s="48" t="s">
        <v>28</v>
      </c>
      <c r="Q5" s="44" t="s">
        <v>30</v>
      </c>
      <c r="R5" s="32" t="s">
        <v>29</v>
      </c>
      <c r="S5" s="31" t="s">
        <v>31</v>
      </c>
      <c r="T5" s="32" t="s">
        <v>32</v>
      </c>
      <c r="U5" s="32" t="s">
        <v>33</v>
      </c>
      <c r="V5" s="32" t="s">
        <v>74</v>
      </c>
    </row>
    <row r="6" spans="1:28" x14ac:dyDescent="0.25">
      <c r="A6" s="3">
        <v>1</v>
      </c>
      <c r="B6" s="26" t="str">
        <f>+EjercicioPlanilla!B6</f>
        <v>Gerencia</v>
      </c>
      <c r="C6" s="52" t="str">
        <f>+EjercicioPlanilla!C6</f>
        <v>Gerente de TI</v>
      </c>
      <c r="D6" s="12">
        <f>+EjercicioPlanilla!D6</f>
        <v>41244</v>
      </c>
      <c r="E6" s="10">
        <f>+EjercicioPlanilla!E6</f>
        <v>46022</v>
      </c>
      <c r="F6" s="2">
        <f>+EjercicioPlanilla!F6</f>
        <v>1400</v>
      </c>
      <c r="G6" s="2">
        <v>20</v>
      </c>
      <c r="H6" s="3">
        <f>MONTH(D6)</f>
        <v>12</v>
      </c>
      <c r="I6" s="11">
        <f>(E6-D6)/365</f>
        <v>13.09041095890411</v>
      </c>
      <c r="J6" s="2">
        <v>0</v>
      </c>
      <c r="K6" s="2">
        <v>0</v>
      </c>
      <c r="L6" s="4">
        <f>IF($H6=12,(($F6/2)*30%),0)</f>
        <v>210</v>
      </c>
      <c r="M6" s="4">
        <f>IF($H6=12,IF((AND($I6&gt;=2,$I6&lt;5)),(($F6/2)*10%),IF($I6&gt;=5,(($F6/2)*15%),0)),0)</f>
        <v>105</v>
      </c>
      <c r="N6" s="4">
        <f>IF((AND($I6&gt;=1,$I6&lt;3)),((F6/30)*15),IF((AND($I6&gt;=3,$I6&lt;10)),((F6/30)*19),((F6/30)*21)))</f>
        <v>980</v>
      </c>
      <c r="O6" s="41">
        <f>IF($I6&gt;=3,($F6-N6),0)</f>
        <v>420</v>
      </c>
      <c r="P6" s="49">
        <f>F6+J6+K6+L6+M6</f>
        <v>1715</v>
      </c>
      <c r="Q6" s="18">
        <f>IF(P6&gt;=1000,(1000*$Q$3),(P6*$Q$3))</f>
        <v>75</v>
      </c>
      <c r="R6" s="2">
        <f>+P6*$R$3</f>
        <v>150.0625</v>
      </c>
      <c r="S6" s="2">
        <f>IF(P6&gt;=1000,(1000*$S$3),(P6*$S$3))</f>
        <v>30</v>
      </c>
      <c r="T6" s="2">
        <f>+P6*$T$3</f>
        <v>124.33749999999999</v>
      </c>
      <c r="U6" s="4">
        <f>F6+G6+J6+K6+L6+M6+N6+O6-S6-T6</f>
        <v>2980.6624999999999</v>
      </c>
      <c r="V6" s="4">
        <f>Q6+R6+S6+T6</f>
        <v>379.4</v>
      </c>
    </row>
    <row r="7" spans="1:28" x14ac:dyDescent="0.25">
      <c r="A7" s="3">
        <f>+A6+1</f>
        <v>2</v>
      </c>
      <c r="B7" s="26" t="str">
        <f>+EjercicioPlanilla!B7</f>
        <v>Administrativo</v>
      </c>
      <c r="C7" s="52" t="str">
        <f>+EjercicioPlanilla!C7</f>
        <v>Asistente de gerencia</v>
      </c>
      <c r="D7" s="12">
        <f>+EjercicioPlanilla!D7</f>
        <v>43337</v>
      </c>
      <c r="E7" s="10">
        <f>+EjercicioPlanilla!E7</f>
        <v>46022</v>
      </c>
      <c r="F7" s="2">
        <f>+EjercicioPlanilla!F7</f>
        <v>675</v>
      </c>
      <c r="G7" s="2">
        <v>20</v>
      </c>
      <c r="H7" s="3">
        <f t="shared" ref="H7:H16" si="0">MONTH(D7)</f>
        <v>8</v>
      </c>
      <c r="I7" s="11">
        <f t="shared" ref="I7:I16" si="1">(E7-D7)/365</f>
        <v>7.3561643835616435</v>
      </c>
      <c r="J7" s="2">
        <v>0</v>
      </c>
      <c r="K7" s="2">
        <v>0</v>
      </c>
      <c r="L7" s="4">
        <f>IF($H7=12,(($F7/2)*30%),0)</f>
        <v>0</v>
      </c>
      <c r="M7" s="4">
        <f t="shared" ref="M7:M16" si="2">IF($H7=12,IF((AND($I7&gt;=2,$I7&lt;5)),(($F7/2)*10%),IF($I7&gt;=5,(($F7/2)*15%),0)),0)</f>
        <v>0</v>
      </c>
      <c r="N7" s="4">
        <f t="shared" ref="N7:N16" si="3">IF((AND($I7&gt;=1,$I7&lt;3)),((F7/30)*15),IF((AND($I7&gt;=3,$I7&lt;10)),((F7/30)*19),((F7/30)*21)))</f>
        <v>427.5</v>
      </c>
      <c r="O7" s="41">
        <f t="shared" ref="O7:O9" si="4">IF($I7&gt;=3,($F7-N7),0)</f>
        <v>247.5</v>
      </c>
      <c r="P7" s="49">
        <f t="shared" ref="P7:P16" si="5">F7+J7+K7+L7+M7</f>
        <v>675</v>
      </c>
      <c r="Q7" s="18">
        <f>IF(P7&gt;=1000,(1000*$Q$3),(P7*$Q$3))</f>
        <v>50.625</v>
      </c>
      <c r="R7" s="2">
        <f>+P7*$R$3</f>
        <v>59.062499999999993</v>
      </c>
      <c r="S7" s="2">
        <f>IF(P7&gt;=1000,(1000*$S$3),(P7*$S$3))</f>
        <v>20.25</v>
      </c>
      <c r="T7" s="2">
        <f>+P7*$T$3</f>
        <v>48.9375</v>
      </c>
      <c r="U7" s="4">
        <f t="shared" ref="U7:U9" si="6">F7+G7+J7+K7+L7+M7+N7+O7-S7-T7</f>
        <v>1300.8125</v>
      </c>
      <c r="V7" s="4">
        <f t="shared" ref="V7:V16" si="7">Q7+R7+S7+T7</f>
        <v>178.875</v>
      </c>
    </row>
    <row r="8" spans="1:28" x14ac:dyDescent="0.25">
      <c r="A8" s="3">
        <f t="shared" ref="A8:A16" si="8">+A7+1</f>
        <v>3</v>
      </c>
      <c r="B8" s="26" t="str">
        <f>+EjercicioPlanilla!B8</f>
        <v>Administrativo</v>
      </c>
      <c r="C8" s="52" t="str">
        <f>+EjercicioPlanilla!C8</f>
        <v>Soporte de redes y HW</v>
      </c>
      <c r="D8" s="12">
        <f>+EjercicioPlanilla!D8</f>
        <v>43801</v>
      </c>
      <c r="E8" s="10">
        <f>+EjercicioPlanilla!E8</f>
        <v>46022</v>
      </c>
      <c r="F8" s="2">
        <f>+EjercicioPlanilla!F8</f>
        <v>675</v>
      </c>
      <c r="G8" s="2">
        <v>20</v>
      </c>
      <c r="H8" s="3">
        <f t="shared" si="0"/>
        <v>12</v>
      </c>
      <c r="I8" s="11">
        <f t="shared" si="1"/>
        <v>6.0849315068493155</v>
      </c>
      <c r="J8" s="2">
        <v>0</v>
      </c>
      <c r="K8" s="2">
        <v>0</v>
      </c>
      <c r="L8" s="4">
        <f>IF($H8=12,(($F8/2)*30%),0)</f>
        <v>101.25</v>
      </c>
      <c r="M8" s="4">
        <f t="shared" si="2"/>
        <v>50.625</v>
      </c>
      <c r="N8" s="4">
        <f t="shared" si="3"/>
        <v>427.5</v>
      </c>
      <c r="O8" s="41">
        <f t="shared" si="4"/>
        <v>247.5</v>
      </c>
      <c r="P8" s="49">
        <f t="shared" si="5"/>
        <v>826.875</v>
      </c>
      <c r="Q8" s="18">
        <f>IF(P8&gt;=1000,(1000*$Q$3),(P8*$Q$3))</f>
        <v>62.015625</v>
      </c>
      <c r="R8" s="2">
        <f>+P8*$R$3</f>
        <v>72.3515625</v>
      </c>
      <c r="S8" s="2">
        <f>IF(P8&gt;=1000,(1000*$S$3),(P8*$S$3))</f>
        <v>24.806249999999999</v>
      </c>
      <c r="T8" s="2">
        <f>+P8*$T$3</f>
        <v>59.948437499999997</v>
      </c>
      <c r="U8" s="4">
        <f t="shared" si="6"/>
        <v>1437.1203125</v>
      </c>
      <c r="V8" s="4">
        <f t="shared" si="7"/>
        <v>219.12187499999999</v>
      </c>
    </row>
    <row r="9" spans="1:28" s="13" customFormat="1" ht="30" x14ac:dyDescent="0.25">
      <c r="A9" s="3">
        <f t="shared" si="8"/>
        <v>4</v>
      </c>
      <c r="B9" s="26" t="str">
        <f>+EjercicioPlanilla!B9</f>
        <v>Administrativo</v>
      </c>
      <c r="C9" s="52" t="str">
        <f>+EjercicioPlanilla!C9</f>
        <v>Encargado de almacenaje y seguridad de la información</v>
      </c>
      <c r="D9" s="12">
        <f>+EjercicioPlanilla!D9</f>
        <v>44146</v>
      </c>
      <c r="E9" s="10">
        <f>+EjercicioPlanilla!E9</f>
        <v>46022</v>
      </c>
      <c r="F9" s="2">
        <f>+EjercicioPlanilla!F9</f>
        <v>700</v>
      </c>
      <c r="G9" s="2">
        <v>20</v>
      </c>
      <c r="H9" s="3">
        <f t="shared" si="0"/>
        <v>11</v>
      </c>
      <c r="I9" s="11">
        <f t="shared" si="1"/>
        <v>5.13972602739726</v>
      </c>
      <c r="J9" s="2">
        <v>0</v>
      </c>
      <c r="K9" s="2">
        <v>0</v>
      </c>
      <c r="L9" s="4">
        <f>IF($H9=12,(($F9/2)*30%),0)</f>
        <v>0</v>
      </c>
      <c r="M9" s="4">
        <f t="shared" si="2"/>
        <v>0</v>
      </c>
      <c r="N9" s="4">
        <f t="shared" si="3"/>
        <v>443.33333333333331</v>
      </c>
      <c r="O9" s="41">
        <f t="shared" si="4"/>
        <v>256.66666666666669</v>
      </c>
      <c r="P9" s="49">
        <f t="shared" si="5"/>
        <v>700</v>
      </c>
      <c r="Q9" s="18">
        <f>IF(P9&gt;=1000,(1000*$Q$3),(P9*$Q$3))</f>
        <v>52.5</v>
      </c>
      <c r="R9" s="2">
        <f>+P9*$R$3</f>
        <v>61.249999999999993</v>
      </c>
      <c r="S9" s="2">
        <f>IF(P9&gt;=1000,(1000*$S$3),(P9*$S$3))</f>
        <v>21</v>
      </c>
      <c r="T9" s="2">
        <f>+P9*$T$3</f>
        <v>50.75</v>
      </c>
      <c r="U9" s="4">
        <f t="shared" si="6"/>
        <v>1348.25</v>
      </c>
      <c r="V9" s="4">
        <f t="shared" si="7"/>
        <v>185.5</v>
      </c>
      <c r="W9"/>
      <c r="X9"/>
      <c r="Y9"/>
      <c r="Z9"/>
      <c r="AA9"/>
      <c r="AB9"/>
    </row>
    <row r="10" spans="1:28" x14ac:dyDescent="0.25">
      <c r="A10" s="3"/>
      <c r="B10" s="26"/>
      <c r="C10" s="22"/>
      <c r="D10" s="23"/>
      <c r="E10" s="23"/>
      <c r="F10" s="5">
        <f>SUM(F6:F9)</f>
        <v>3450</v>
      </c>
      <c r="G10" s="5">
        <f>SUM(G6:G9)</f>
        <v>80</v>
      </c>
      <c r="H10" s="3"/>
      <c r="I10" s="15" t="s">
        <v>2</v>
      </c>
      <c r="J10" s="5">
        <f t="shared" ref="J10:P10" si="9">SUM(J6:J9)</f>
        <v>0</v>
      </c>
      <c r="K10" s="5">
        <f t="shared" si="9"/>
        <v>0</v>
      </c>
      <c r="L10" s="5">
        <f t="shared" si="9"/>
        <v>311.25</v>
      </c>
      <c r="M10" s="5">
        <f t="shared" si="9"/>
        <v>155.625</v>
      </c>
      <c r="N10" s="5">
        <f t="shared" si="9"/>
        <v>2278.3333333333335</v>
      </c>
      <c r="O10" s="5">
        <f t="shared" si="9"/>
        <v>1171.6666666666667</v>
      </c>
      <c r="P10" s="5">
        <f t="shared" si="9"/>
        <v>3916.875</v>
      </c>
      <c r="Q10" s="45">
        <f>SUM(Q6:Q9)</f>
        <v>240.140625</v>
      </c>
      <c r="R10" s="5">
        <f>SUM(R6:R9)</f>
        <v>342.7265625</v>
      </c>
      <c r="S10" s="5">
        <f t="shared" ref="S10:T10" si="10">SUM(S6:S9)</f>
        <v>96.056250000000006</v>
      </c>
      <c r="T10" s="5">
        <f t="shared" si="10"/>
        <v>283.97343749999999</v>
      </c>
      <c r="U10" s="5">
        <f t="shared" ref="U10" si="11">SUM(U6:U9)</f>
        <v>7066.8453125000005</v>
      </c>
      <c r="V10" s="5">
        <f>SUM(V6:V9)</f>
        <v>962.89687499999991</v>
      </c>
    </row>
    <row r="11" spans="1:28" x14ac:dyDescent="0.25">
      <c r="A11" s="3">
        <f>+A9+1</f>
        <v>5</v>
      </c>
      <c r="B11" s="26" t="str">
        <f>+EjercicioPlanilla!B11</f>
        <v>Operaciones</v>
      </c>
      <c r="C11" s="52" t="str">
        <f>+EjercicioPlanilla!C11</f>
        <v>Supervisor de occidente</v>
      </c>
      <c r="D11" s="12">
        <f>+EjercicioPlanilla!D11</f>
        <v>42922</v>
      </c>
      <c r="E11" s="10">
        <f>+EjercicioPlanilla!E11</f>
        <v>46022</v>
      </c>
      <c r="F11" s="2">
        <f>+EjercicioPlanilla!F11</f>
        <v>650</v>
      </c>
      <c r="G11" s="2">
        <v>35</v>
      </c>
      <c r="H11" s="3">
        <f t="shared" si="0"/>
        <v>7</v>
      </c>
      <c r="I11" s="11">
        <f t="shared" si="1"/>
        <v>8.493150684931507</v>
      </c>
      <c r="J11" s="2">
        <v>0</v>
      </c>
      <c r="K11" s="2">
        <v>0</v>
      </c>
      <c r="L11" s="4">
        <f t="shared" ref="L11:L16" si="12">IF($H11=12,(($F11/2)*30%),0)</f>
        <v>0</v>
      </c>
      <c r="M11" s="4">
        <f t="shared" si="2"/>
        <v>0</v>
      </c>
      <c r="N11" s="4">
        <f t="shared" si="3"/>
        <v>411.66666666666669</v>
      </c>
      <c r="O11" s="41">
        <f t="shared" ref="O11:O16" si="13">IF($I11&gt;=3,($F11-N11),0)</f>
        <v>238.33333333333331</v>
      </c>
      <c r="P11" s="49">
        <f t="shared" si="5"/>
        <v>650</v>
      </c>
      <c r="Q11" s="18">
        <f t="shared" ref="Q11:Q16" si="14">IF(P11&gt;=1000,(1000*$Q$3),(P11*$Q$3))</f>
        <v>48.75</v>
      </c>
      <c r="R11" s="2">
        <f t="shared" ref="R11:R16" si="15">+P11*$R$3</f>
        <v>56.874999999999993</v>
      </c>
      <c r="S11" s="2">
        <f t="shared" ref="S11:S16" si="16">IF(P11&gt;=1000,(1000*$S$3),(P11*$S$3))</f>
        <v>19.5</v>
      </c>
      <c r="T11" s="2">
        <f t="shared" ref="T11:T16" si="17">+P11*$T$3</f>
        <v>47.125</v>
      </c>
      <c r="U11" s="4">
        <f t="shared" ref="U11" si="18">F11+G11+J11+K11+L11+M11+N11+O11-S11-T11</f>
        <v>1268.375</v>
      </c>
      <c r="V11" s="4">
        <f t="shared" si="7"/>
        <v>172.25</v>
      </c>
    </row>
    <row r="12" spans="1:28" x14ac:dyDescent="0.25">
      <c r="A12" s="3">
        <f t="shared" si="8"/>
        <v>6</v>
      </c>
      <c r="B12" s="26" t="str">
        <f>+EjercicioPlanilla!B12</f>
        <v>Operaciones</v>
      </c>
      <c r="C12" s="52" t="str">
        <f>+EjercicioPlanilla!C12</f>
        <v>Supervisor de oriente</v>
      </c>
      <c r="D12" s="12">
        <f>+EjercicioPlanilla!D12</f>
        <v>43897</v>
      </c>
      <c r="E12" s="10">
        <f>+EjercicioPlanilla!E12</f>
        <v>46022</v>
      </c>
      <c r="F12" s="2">
        <f>+EjercicioPlanilla!F12</f>
        <v>650</v>
      </c>
      <c r="G12" s="2">
        <v>35</v>
      </c>
      <c r="H12" s="3">
        <f t="shared" si="0"/>
        <v>3</v>
      </c>
      <c r="I12" s="11">
        <f t="shared" si="1"/>
        <v>5.8219178082191778</v>
      </c>
      <c r="J12" s="2">
        <v>0</v>
      </c>
      <c r="K12" s="2">
        <v>0</v>
      </c>
      <c r="L12" s="4">
        <f t="shared" si="12"/>
        <v>0</v>
      </c>
      <c r="M12" s="4">
        <f t="shared" si="2"/>
        <v>0</v>
      </c>
      <c r="N12" s="4">
        <f t="shared" si="3"/>
        <v>411.66666666666669</v>
      </c>
      <c r="O12" s="41">
        <f t="shared" si="13"/>
        <v>238.33333333333331</v>
      </c>
      <c r="P12" s="49">
        <f t="shared" si="5"/>
        <v>650</v>
      </c>
      <c r="Q12" s="18">
        <f t="shared" si="14"/>
        <v>48.75</v>
      </c>
      <c r="R12" s="2">
        <f t="shared" si="15"/>
        <v>56.874999999999993</v>
      </c>
      <c r="S12" s="2">
        <f t="shared" si="16"/>
        <v>19.5</v>
      </c>
      <c r="T12" s="2">
        <f t="shared" si="17"/>
        <v>47.125</v>
      </c>
      <c r="U12" s="4">
        <f>F12+G12+J12+K12+L12+M12+N12+O12-S12-T12</f>
        <v>1268.375</v>
      </c>
      <c r="V12" s="4">
        <f t="shared" si="7"/>
        <v>172.25</v>
      </c>
    </row>
    <row r="13" spans="1:28" x14ac:dyDescent="0.25">
      <c r="A13" s="3">
        <f t="shared" si="8"/>
        <v>7</v>
      </c>
      <c r="B13" s="26" t="str">
        <f>+EjercicioPlanilla!B13</f>
        <v>Operaciones</v>
      </c>
      <c r="C13" s="52" t="str">
        <f>+EjercicioPlanilla!C13</f>
        <v>Supervisor centro</v>
      </c>
      <c r="D13" s="12">
        <f>+EjercicioPlanilla!D13</f>
        <v>43807</v>
      </c>
      <c r="E13" s="10">
        <f>+EjercicioPlanilla!E13</f>
        <v>46022</v>
      </c>
      <c r="F13" s="2">
        <f>+EjercicioPlanilla!F13</f>
        <v>650</v>
      </c>
      <c r="G13" s="2">
        <v>35</v>
      </c>
      <c r="H13" s="3">
        <f t="shared" si="0"/>
        <v>12</v>
      </c>
      <c r="I13" s="11">
        <f t="shared" si="1"/>
        <v>6.0684931506849313</v>
      </c>
      <c r="J13" s="2">
        <v>0</v>
      </c>
      <c r="K13" s="2">
        <v>0</v>
      </c>
      <c r="L13" s="4">
        <f t="shared" si="12"/>
        <v>97.5</v>
      </c>
      <c r="M13" s="4">
        <f t="shared" si="2"/>
        <v>48.75</v>
      </c>
      <c r="N13" s="4">
        <f t="shared" si="3"/>
        <v>411.66666666666669</v>
      </c>
      <c r="O13" s="41">
        <f t="shared" si="13"/>
        <v>238.33333333333331</v>
      </c>
      <c r="P13" s="49">
        <f t="shared" si="5"/>
        <v>796.25</v>
      </c>
      <c r="Q13" s="18">
        <f t="shared" si="14"/>
        <v>59.71875</v>
      </c>
      <c r="R13" s="2">
        <f t="shared" si="15"/>
        <v>69.671875</v>
      </c>
      <c r="S13" s="2">
        <f t="shared" si="16"/>
        <v>23.887499999999999</v>
      </c>
      <c r="T13" s="2">
        <f t="shared" si="17"/>
        <v>57.728124999999999</v>
      </c>
      <c r="U13" s="4">
        <f>F13+G13+J13+K13+L13+M13+N13+O13-S13-T13</f>
        <v>1399.6343749999999</v>
      </c>
      <c r="V13" s="4">
        <f t="shared" si="7"/>
        <v>211.00624999999999</v>
      </c>
    </row>
    <row r="14" spans="1:28" ht="30" x14ac:dyDescent="0.25">
      <c r="A14" s="3">
        <f t="shared" si="8"/>
        <v>8</v>
      </c>
      <c r="B14" s="26" t="str">
        <f>+EjercicioPlanilla!B14</f>
        <v>Operaciones</v>
      </c>
      <c r="C14" s="52" t="str">
        <f>+EjercicioPlanilla!C14</f>
        <v>Técnico de soporte a domicilio-Occidente</v>
      </c>
      <c r="D14" s="12">
        <f>+EjercicioPlanilla!D14</f>
        <v>42560</v>
      </c>
      <c r="E14" s="10">
        <f>+EjercicioPlanilla!E14</f>
        <v>46022</v>
      </c>
      <c r="F14" s="2">
        <f>+EjercicioPlanilla!F14</f>
        <v>500</v>
      </c>
      <c r="G14" s="2">
        <v>35</v>
      </c>
      <c r="H14" s="3">
        <f t="shared" si="0"/>
        <v>7</v>
      </c>
      <c r="I14" s="11">
        <f t="shared" si="1"/>
        <v>9.4849315068493159</v>
      </c>
      <c r="J14" s="2">
        <f>(F14/30/8)*2*20</f>
        <v>83.333333333333343</v>
      </c>
      <c r="K14" s="2">
        <f>(F14/30/8)*2.5*5</f>
        <v>26.041666666666671</v>
      </c>
      <c r="L14" s="4">
        <f t="shared" si="12"/>
        <v>0</v>
      </c>
      <c r="M14" s="4">
        <f t="shared" si="2"/>
        <v>0</v>
      </c>
      <c r="N14" s="4">
        <f t="shared" si="3"/>
        <v>316.66666666666669</v>
      </c>
      <c r="O14" s="41">
        <f t="shared" si="13"/>
        <v>183.33333333333331</v>
      </c>
      <c r="P14" s="49">
        <f t="shared" si="5"/>
        <v>609.375</v>
      </c>
      <c r="Q14" s="18">
        <f t="shared" si="14"/>
        <v>45.703125</v>
      </c>
      <c r="R14" s="2">
        <f t="shared" si="15"/>
        <v>53.3203125</v>
      </c>
      <c r="S14" s="2">
        <f t="shared" si="16"/>
        <v>18.28125</v>
      </c>
      <c r="T14" s="2">
        <f t="shared" si="17"/>
        <v>44.1796875</v>
      </c>
      <c r="U14" s="4">
        <f>F14+G14+J14+K14+L14+M14+N14+O14-S14-T14</f>
        <v>1081.9140625</v>
      </c>
      <c r="V14" s="4">
        <f t="shared" si="7"/>
        <v>161.484375</v>
      </c>
    </row>
    <row r="15" spans="1:28" ht="30" x14ac:dyDescent="0.25">
      <c r="A15" s="3">
        <f t="shared" si="8"/>
        <v>9</v>
      </c>
      <c r="B15" s="26" t="str">
        <f>+EjercicioPlanilla!B15</f>
        <v>Operaciones</v>
      </c>
      <c r="C15" s="52" t="str">
        <f>+EjercicioPlanilla!C15</f>
        <v>Técnico de soporte a domicilio-Oriente</v>
      </c>
      <c r="D15" s="12">
        <f>+EjercicioPlanilla!D15</f>
        <v>42339</v>
      </c>
      <c r="E15" s="10">
        <f>+EjercicioPlanilla!E15</f>
        <v>46022</v>
      </c>
      <c r="F15" s="2">
        <f>+EjercicioPlanilla!F15</f>
        <v>500</v>
      </c>
      <c r="G15" s="2">
        <v>35</v>
      </c>
      <c r="H15" s="3">
        <f t="shared" si="0"/>
        <v>12</v>
      </c>
      <c r="I15" s="11">
        <f t="shared" si="1"/>
        <v>10.09041095890411</v>
      </c>
      <c r="J15" s="2">
        <f t="shared" ref="J15:J16" si="19">(F15/30/8)*2*20</f>
        <v>83.333333333333343</v>
      </c>
      <c r="K15" s="2">
        <f t="shared" ref="K15:K16" si="20">(F15/30/8)*2.5*5</f>
        <v>26.041666666666671</v>
      </c>
      <c r="L15" s="4">
        <f t="shared" si="12"/>
        <v>75</v>
      </c>
      <c r="M15" s="4">
        <f t="shared" si="2"/>
        <v>37.5</v>
      </c>
      <c r="N15" s="4">
        <f t="shared" si="3"/>
        <v>350</v>
      </c>
      <c r="O15" s="41">
        <f t="shared" si="13"/>
        <v>150</v>
      </c>
      <c r="P15" s="49">
        <f t="shared" si="5"/>
        <v>721.875</v>
      </c>
      <c r="Q15" s="18">
        <f t="shared" si="14"/>
        <v>54.140625</v>
      </c>
      <c r="R15" s="2">
        <f t="shared" si="15"/>
        <v>63.164062499999993</v>
      </c>
      <c r="S15" s="2">
        <f t="shared" si="16"/>
        <v>21.65625</v>
      </c>
      <c r="T15" s="2">
        <f t="shared" si="17"/>
        <v>52.335937499999993</v>
      </c>
      <c r="U15" s="4">
        <f>F15+G15+J15+K15+L15+M15+N15+O15-S15-T15</f>
        <v>1182.8828125</v>
      </c>
      <c r="V15" s="4">
        <f t="shared" si="7"/>
        <v>191.296875</v>
      </c>
    </row>
    <row r="16" spans="1:28" ht="30" x14ac:dyDescent="0.25">
      <c r="A16" s="3">
        <f t="shared" si="8"/>
        <v>10</v>
      </c>
      <c r="B16" s="26" t="str">
        <f>+EjercicioPlanilla!B16</f>
        <v>Operaciones</v>
      </c>
      <c r="C16" s="52" t="str">
        <f>+EjercicioPlanilla!C16</f>
        <v>Técnico de soportea domicilio-Central</v>
      </c>
      <c r="D16" s="12">
        <f>+EjercicioPlanilla!D16</f>
        <v>45231</v>
      </c>
      <c r="E16" s="10">
        <f>+EjercicioPlanilla!E16</f>
        <v>46022</v>
      </c>
      <c r="F16" s="2">
        <f>+EjercicioPlanilla!F16</f>
        <v>500</v>
      </c>
      <c r="G16" s="2">
        <v>35</v>
      </c>
      <c r="H16" s="3">
        <f t="shared" si="0"/>
        <v>11</v>
      </c>
      <c r="I16" s="11">
        <f t="shared" si="1"/>
        <v>2.1671232876712327</v>
      </c>
      <c r="J16" s="2">
        <f t="shared" si="19"/>
        <v>83.333333333333343</v>
      </c>
      <c r="K16" s="2">
        <f t="shared" si="20"/>
        <v>26.041666666666671</v>
      </c>
      <c r="L16" s="4">
        <f t="shared" si="12"/>
        <v>0</v>
      </c>
      <c r="M16" s="4">
        <f t="shared" si="2"/>
        <v>0</v>
      </c>
      <c r="N16" s="4">
        <f t="shared" si="3"/>
        <v>250.00000000000003</v>
      </c>
      <c r="O16" s="41">
        <f t="shared" si="13"/>
        <v>0</v>
      </c>
      <c r="P16" s="49">
        <f t="shared" si="5"/>
        <v>609.375</v>
      </c>
      <c r="Q16" s="18">
        <f t="shared" si="14"/>
        <v>45.703125</v>
      </c>
      <c r="R16" s="2">
        <f t="shared" si="15"/>
        <v>53.3203125</v>
      </c>
      <c r="S16" s="2">
        <f t="shared" si="16"/>
        <v>18.28125</v>
      </c>
      <c r="T16" s="2">
        <f t="shared" si="17"/>
        <v>44.1796875</v>
      </c>
      <c r="U16" s="4">
        <f>F16+G16+J16+K16+L16+M16+N16+O16-S16-T16</f>
        <v>831.9140625</v>
      </c>
      <c r="V16" s="4">
        <f t="shared" si="7"/>
        <v>161.484375</v>
      </c>
    </row>
    <row r="17" spans="3:22" x14ac:dyDescent="0.25">
      <c r="C17" s="16"/>
      <c r="D17" s="17"/>
      <c r="E17" s="20" t="s">
        <v>2</v>
      </c>
      <c r="F17" s="33">
        <f>SUM(F11:F16)</f>
        <v>3450</v>
      </c>
      <c r="G17" s="33">
        <f>SUM(G11:G16)</f>
        <v>210</v>
      </c>
      <c r="H17" s="33"/>
      <c r="I17" s="33"/>
      <c r="J17" s="33">
        <f>SUM(J11:J16)</f>
        <v>250.00000000000003</v>
      </c>
      <c r="K17" s="33">
        <f>SUM(K11:K16)</f>
        <v>78.125000000000014</v>
      </c>
      <c r="L17" s="6">
        <f t="shared" ref="L17:V17" si="21">SUM(L11:L16)</f>
        <v>172.5</v>
      </c>
      <c r="M17" s="6">
        <f t="shared" ref="M17" si="22">SUM(M11:M16)</f>
        <v>86.25</v>
      </c>
      <c r="N17" s="6">
        <f t="shared" si="21"/>
        <v>2151.666666666667</v>
      </c>
      <c r="O17" s="42">
        <f t="shared" ref="O17:P17" si="23">SUM(O11:O16)</f>
        <v>1048.3333333333333</v>
      </c>
      <c r="P17" s="50">
        <f t="shared" si="23"/>
        <v>4036.875</v>
      </c>
      <c r="Q17" s="46">
        <f>SUM(Q11:Q16)</f>
        <v>302.765625</v>
      </c>
      <c r="R17" s="6">
        <f>SUM(R11:R16)</f>
        <v>353.2265625</v>
      </c>
      <c r="S17" s="6">
        <f t="shared" ref="S17:T17" si="24">SUM(S11:S16)</f>
        <v>121.10625</v>
      </c>
      <c r="T17" s="6">
        <f t="shared" si="24"/>
        <v>292.67343749999998</v>
      </c>
      <c r="U17" s="6">
        <f t="shared" si="21"/>
        <v>7033.0953124999996</v>
      </c>
      <c r="V17" s="6">
        <f t="shared" si="21"/>
        <v>1069.7718749999999</v>
      </c>
    </row>
    <row r="18" spans="3:22" ht="15.75" thickBot="1" x14ac:dyDescent="0.3">
      <c r="D18" s="17"/>
      <c r="E18" s="21" t="s">
        <v>3</v>
      </c>
      <c r="F18" s="19">
        <f>F10+F17</f>
        <v>6900</v>
      </c>
      <c r="G18" s="19">
        <f>G10+G17</f>
        <v>290</v>
      </c>
      <c r="H18" s="19"/>
      <c r="I18" s="19"/>
      <c r="J18" s="19">
        <f>J10+J17</f>
        <v>250.00000000000003</v>
      </c>
      <c r="K18" s="19">
        <f>K10+K17</f>
        <v>78.125000000000014</v>
      </c>
      <c r="L18" s="7">
        <f t="shared" ref="L18:R18" si="25">+L10+L17</f>
        <v>483.75</v>
      </c>
      <c r="M18" s="7">
        <f t="shared" ref="M18" si="26">+M10+M17</f>
        <v>241.875</v>
      </c>
      <c r="N18" s="7">
        <f t="shared" si="25"/>
        <v>4430</v>
      </c>
      <c r="O18" s="43">
        <f t="shared" ref="O18:P18" si="27">+O10+O17</f>
        <v>2220</v>
      </c>
      <c r="P18" s="51">
        <f t="shared" si="27"/>
        <v>7953.75</v>
      </c>
      <c r="Q18" s="19">
        <f t="shared" si="25"/>
        <v>542.90625</v>
      </c>
      <c r="R18" s="7">
        <f t="shared" si="25"/>
        <v>695.953125</v>
      </c>
      <c r="S18" s="7">
        <f t="shared" ref="S18:V18" si="28">+S10+S17</f>
        <v>217.16250000000002</v>
      </c>
      <c r="T18" s="7">
        <f t="shared" si="28"/>
        <v>576.64687499999991</v>
      </c>
      <c r="U18" s="7">
        <f t="shared" si="28"/>
        <v>14099.940624999999</v>
      </c>
      <c r="V18" s="7">
        <f t="shared" si="28"/>
        <v>2032.6687499999998</v>
      </c>
    </row>
    <row r="21" spans="3:22" x14ac:dyDescent="0.25">
      <c r="L21" s="57"/>
      <c r="M21" s="57"/>
    </row>
    <row r="22" spans="3:22" x14ac:dyDescent="0.25">
      <c r="L22" s="57"/>
      <c r="M22" s="57"/>
    </row>
    <row r="23" spans="3:22" x14ac:dyDescent="0.25">
      <c r="L23" s="57"/>
      <c r="M23" s="57"/>
    </row>
  </sheetData>
  <pageMargins left="0.70866141732283472" right="0.45" top="0.48" bottom="0.61" header="0.31496062992125984" footer="0.31496062992125984"/>
  <pageSetup scale="85" orientation="landscape" r:id="rId1"/>
  <headerFooter>
    <oddFooter>&amp;L&amp;P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Planteamiento</vt:lpstr>
      <vt:lpstr>EjercicioPlanilla</vt:lpstr>
      <vt:lpstr>EjercicioPlanilla-Solución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GUARDADO</dc:creator>
  <cp:lastModifiedBy>Luis Enrique Vasquez Menjivar</cp:lastModifiedBy>
  <cp:lastPrinted>2020-09-22T18:00:47Z</cp:lastPrinted>
  <dcterms:created xsi:type="dcterms:W3CDTF">2020-09-21T06:04:45Z</dcterms:created>
  <dcterms:modified xsi:type="dcterms:W3CDTF">2026-04-16T01:53:28Z</dcterms:modified>
</cp:coreProperties>
</file>