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zi\OneDrive\Escritorio\UES-2026\Ciclo 01\"/>
    </mc:Choice>
  </mc:AlternateContent>
  <xr:revisionPtr revIDLastSave="0" documentId="13_ncr:1_{BCB601FD-2327-4CFA-BD09-0C41145B8BC2}" xr6:coauthVersionLast="47" xr6:coauthVersionMax="47" xr10:uidLastSave="{00000000-0000-0000-0000-000000000000}"/>
  <bookViews>
    <workbookView xWindow="-108" yWindow="-108" windowWidth="23256" windowHeight="12456" xr2:uid="{8B416A22-FD13-409B-B356-C908504C11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0" i="1" l="1"/>
  <c r="I21" i="1"/>
  <c r="I22" i="1"/>
  <c r="I23" i="1"/>
  <c r="I24" i="1"/>
  <c r="I25" i="1"/>
  <c r="I26" i="1"/>
  <c r="I19" i="1"/>
  <c r="I27" i="1" s="1"/>
  <c r="D20" i="1"/>
  <c r="D21" i="1"/>
  <c r="D22" i="1"/>
  <c r="D23" i="1"/>
  <c r="D24" i="1"/>
  <c r="D25" i="1"/>
  <c r="D26" i="1"/>
  <c r="D27" i="1"/>
  <c r="D19" i="1"/>
  <c r="N5" i="1"/>
  <c r="N6" i="1"/>
  <c r="N7" i="1"/>
  <c r="N8" i="1"/>
  <c r="N9" i="1"/>
  <c r="N10" i="1"/>
  <c r="N4" i="1"/>
  <c r="I11" i="1"/>
  <c r="I5" i="1"/>
  <c r="I6" i="1"/>
  <c r="I7" i="1"/>
  <c r="I8" i="1"/>
  <c r="I9" i="1"/>
  <c r="I10" i="1"/>
  <c r="I4" i="1"/>
  <c r="D5" i="1"/>
  <c r="D6" i="1"/>
  <c r="D7" i="1"/>
  <c r="D8" i="1"/>
  <c r="D9" i="1"/>
  <c r="D10" i="1"/>
  <c r="D4" i="1"/>
  <c r="D28" i="1" l="1"/>
  <c r="I12" i="1"/>
  <c r="N11" i="1"/>
  <c r="D11" i="1"/>
</calcChain>
</file>

<file path=xl/sharedStrings.xml><?xml version="1.0" encoding="utf-8"?>
<sst xmlns="http://schemas.openxmlformats.org/spreadsheetml/2006/main" count="64" uniqueCount="34">
  <si>
    <t>Parcial 1</t>
  </si>
  <si>
    <t>Evaluacion</t>
  </si>
  <si>
    <t>Nota</t>
  </si>
  <si>
    <t>Porcentaje</t>
  </si>
  <si>
    <t>Nota Final</t>
  </si>
  <si>
    <t>Evaluaciones</t>
  </si>
  <si>
    <t>Nota final</t>
  </si>
  <si>
    <t>Parcial 2</t>
  </si>
  <si>
    <t>Parcial 3</t>
  </si>
  <si>
    <t xml:space="preserve">Nota </t>
  </si>
  <si>
    <t>Proyecto Etapa 1</t>
  </si>
  <si>
    <t>Proyecto Etapa 2</t>
  </si>
  <si>
    <t>Diseño de Sistemas</t>
  </si>
  <si>
    <t>Sistemas Embebidos</t>
  </si>
  <si>
    <t>Microprogramacion</t>
  </si>
  <si>
    <t>Metodo de Optimizacion</t>
  </si>
  <si>
    <t>Recursos Humanos</t>
  </si>
  <si>
    <t>Laboratorio 1</t>
  </si>
  <si>
    <t>Laboratorio 2</t>
  </si>
  <si>
    <t>Laboratorio 3</t>
  </si>
  <si>
    <t>Proyecto Etapa 3</t>
  </si>
  <si>
    <t>Tarea 1</t>
  </si>
  <si>
    <t>Tarea 2</t>
  </si>
  <si>
    <t>Tarea de Investigacion</t>
  </si>
  <si>
    <t>Proyecto</t>
  </si>
  <si>
    <t>Proyecto de Investigacion</t>
  </si>
  <si>
    <t>Defensa proyecto</t>
  </si>
  <si>
    <t>Parcial 4</t>
  </si>
  <si>
    <t>Tarea 3</t>
  </si>
  <si>
    <t>Ensayo</t>
  </si>
  <si>
    <t>Proyecto Avance 1</t>
  </si>
  <si>
    <t>Trabajo Aplicativo 1</t>
  </si>
  <si>
    <t>Trabajo Aplicativo 2</t>
  </si>
  <si>
    <t>Proyecto Avance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</si>
</sst>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3" fillId="0" borderId="0" xfId="0" applyFont="1"/>
    <xf numFmtId="0" fontId="2" fillId="0" borderId="1" xfId="0" applyFont="1" applyBorder="1"/>
    <xf numFmtId="0" fontId="4" fillId="0" borderId="1" xfId="0" applyFont="1" applyBorder="1"/>
    <xf numFmtId="0" fontId="5" fillId="0" borderId="8" xfId="0" applyFont="1" applyBorder="1"/>
    <xf numFmtId="9" fontId="5" fillId="0" borderId="9" xfId="1" applyFont="1" applyFill="1" applyBorder="1"/>
    <xf numFmtId="0" fontId="5" fillId="0" borderId="9" xfId="0" applyFont="1" applyBorder="1"/>
    <xf numFmtId="0" fontId="5" fillId="0" borderId="10" xfId="0" applyFont="1" applyBorder="1"/>
    <xf numFmtId="0" fontId="4" fillId="0" borderId="0" xfId="0" applyFont="1"/>
    <xf numFmtId="9" fontId="4" fillId="0" borderId="0" xfId="0" applyNumberFormat="1" applyFont="1"/>
    <xf numFmtId="2" fontId="2" fillId="0" borderId="1" xfId="0" applyNumberFormat="1" applyFont="1" applyBorder="1"/>
    <xf numFmtId="0" fontId="5" fillId="0" borderId="0" xfId="0" applyFont="1"/>
    <xf numFmtId="9" fontId="5" fillId="0" borderId="9" xfId="1" applyFont="1" applyBorder="1"/>
    <xf numFmtId="2" fontId="4" fillId="0" borderId="1" xfId="0" applyNumberFormat="1" applyFont="1" applyBorder="1"/>
    <xf numFmtId="0" fontId="4" fillId="0" borderId="1" xfId="0" applyFont="1" applyBorder="1" applyAlignment="1">
      <alignment horizontal="center"/>
    </xf>
    <xf numFmtId="164" fontId="8" fillId="0" borderId="0" xfId="1" applyNumberFormat="1" applyFont="1"/>
    <xf numFmtId="0" fontId="4" fillId="0" borderId="1" xfId="0" applyFont="1" applyBorder="1" applyAlignment="1">
      <alignment horizontal="center" vertical="center"/>
    </xf>
    <xf numFmtId="0" fontId="4" fillId="2" borderId="11" xfId="0" applyFont="1" applyFill="1" applyBorder="1"/>
    <xf numFmtId="0" fontId="7" fillId="7" borderId="1" xfId="0" applyFont="1" applyFill="1" applyBorder="1"/>
    <xf numFmtId="9" fontId="7" fillId="7" borderId="1" xfId="1" applyFont="1" applyFill="1" applyBorder="1" applyAlignment="1">
      <alignment horizontal="center" vertical="center"/>
    </xf>
    <xf numFmtId="0" fontId="9" fillId="0" borderId="1" xfId="0" applyFont="1" applyBorder="1"/>
    <xf numFmtId="9" fontId="9" fillId="0" borderId="1" xfId="1" applyFont="1" applyBorder="1" applyAlignment="1">
      <alignment horizontal="center" vertical="center"/>
    </xf>
    <xf numFmtId="0" fontId="9" fillId="7" borderId="1" xfId="0" applyFont="1" applyFill="1" applyBorder="1"/>
    <xf numFmtId="9" fontId="9" fillId="7" borderId="1" xfId="1" applyFont="1" applyFill="1" applyBorder="1" applyAlignment="1">
      <alignment horizontal="center" vertical="center"/>
    </xf>
    <xf numFmtId="164" fontId="9" fillId="0" borderId="1" xfId="1" applyNumberFormat="1" applyFont="1" applyBorder="1" applyAlignment="1">
      <alignment horizontal="center" vertical="center"/>
    </xf>
    <xf numFmtId="164" fontId="9" fillId="7" borderId="1" xfId="1" applyNumberFormat="1" applyFont="1" applyFill="1" applyBorder="1" applyAlignment="1">
      <alignment horizontal="center" vertical="center"/>
    </xf>
    <xf numFmtId="9" fontId="4" fillId="0" borderId="1" xfId="0" applyNumberFormat="1" applyFont="1" applyBorder="1"/>
    <xf numFmtId="0" fontId="7" fillId="0" borderId="1" xfId="0" applyFont="1" applyBorder="1"/>
    <xf numFmtId="9" fontId="7" fillId="0" borderId="1" xfId="1" applyFont="1" applyBorder="1" applyAlignment="1">
      <alignment horizontal="center" vertical="center"/>
    </xf>
    <xf numFmtId="0" fontId="5" fillId="0" borderId="1" xfId="0" applyFont="1" applyBorder="1"/>
    <xf numFmtId="0" fontId="10" fillId="7" borderId="1" xfId="0" applyFont="1" applyFill="1" applyBorder="1"/>
    <xf numFmtId="9" fontId="10" fillId="7" borderId="1" xfId="1" applyFont="1" applyFill="1" applyBorder="1" applyAlignment="1">
      <alignment horizontal="center" vertical="center"/>
    </xf>
    <xf numFmtId="0" fontId="11" fillId="0" borderId="1" xfId="0" applyFont="1" applyBorder="1"/>
    <xf numFmtId="2" fontId="5" fillId="0" borderId="1" xfId="0" applyNumberFormat="1" applyFont="1" applyBorder="1"/>
    <xf numFmtId="0" fontId="5" fillId="6" borderId="2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0" fontId="10" fillId="0" borderId="1" xfId="0" applyFont="1" applyBorder="1"/>
    <xf numFmtId="9" fontId="10" fillId="0" borderId="1" xfId="1" applyFont="1" applyBorder="1" applyAlignment="1">
      <alignment horizontal="center" vertical="center"/>
    </xf>
    <xf numFmtId="2" fontId="11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12" fillId="7" borderId="1" xfId="0" applyFont="1" applyFill="1" applyBorder="1"/>
    <xf numFmtId="9" fontId="12" fillId="7" borderId="1" xfId="1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2A0CD-7BCC-4D99-8D34-01F85165CA32}">
  <dimension ref="A1:N28"/>
  <sheetViews>
    <sheetView tabSelected="1" zoomScale="86" zoomScaleNormal="115" workbookViewId="0">
      <selection activeCell="H7" sqref="H7"/>
    </sheetView>
  </sheetViews>
  <sheetFormatPr baseColWidth="10" defaultRowHeight="14.4" x14ac:dyDescent="0.3"/>
  <cols>
    <col min="1" max="1" width="35.6640625" bestFit="1" customWidth="1"/>
    <col min="6" max="6" width="32.88671875" bestFit="1" customWidth="1"/>
    <col min="11" max="11" width="26.6640625" bestFit="1" customWidth="1"/>
  </cols>
  <sheetData>
    <row r="1" spans="1:14" ht="15" thickBot="1" x14ac:dyDescent="0.35"/>
    <row r="2" spans="1:14" ht="15" thickBot="1" x14ac:dyDescent="0.35">
      <c r="A2" s="40" t="s">
        <v>12</v>
      </c>
      <c r="B2" s="41"/>
      <c r="C2" s="41"/>
      <c r="D2" s="42"/>
      <c r="F2" s="43" t="s">
        <v>13</v>
      </c>
      <c r="G2" s="44"/>
      <c r="H2" s="44"/>
      <c r="I2" s="45"/>
      <c r="K2" s="46" t="s">
        <v>14</v>
      </c>
      <c r="L2" s="47"/>
      <c r="M2" s="47"/>
      <c r="N2" s="48"/>
    </row>
    <row r="3" spans="1:14" s="1" customFormat="1" x14ac:dyDescent="0.3">
      <c r="A3" s="4" t="s">
        <v>5</v>
      </c>
      <c r="B3" s="5" t="s">
        <v>3</v>
      </c>
      <c r="C3" s="6" t="s">
        <v>2</v>
      </c>
      <c r="D3" s="7" t="s">
        <v>6</v>
      </c>
      <c r="E3" s="11"/>
      <c r="F3" s="4" t="s">
        <v>5</v>
      </c>
      <c r="G3" s="12" t="s">
        <v>3</v>
      </c>
      <c r="H3" s="6" t="s">
        <v>9</v>
      </c>
      <c r="I3" s="7" t="s">
        <v>4</v>
      </c>
      <c r="J3" s="11"/>
      <c r="K3" s="4" t="s">
        <v>5</v>
      </c>
      <c r="L3" s="12" t="s">
        <v>3</v>
      </c>
      <c r="M3" s="6" t="s">
        <v>9</v>
      </c>
      <c r="N3" s="7" t="s">
        <v>4</v>
      </c>
    </row>
    <row r="4" spans="1:14" ht="15.6" x14ac:dyDescent="0.3">
      <c r="A4" s="18" t="s">
        <v>17</v>
      </c>
      <c r="B4" s="19">
        <v>0.05</v>
      </c>
      <c r="C4" s="2">
        <v>9.6</v>
      </c>
      <c r="D4" s="2">
        <f>+B4*C4</f>
        <v>0.48</v>
      </c>
      <c r="E4" s="8"/>
      <c r="F4" s="18" t="s">
        <v>17</v>
      </c>
      <c r="G4" s="19">
        <v>0.1</v>
      </c>
      <c r="H4" s="2">
        <v>10</v>
      </c>
      <c r="I4" s="2">
        <f>+G4*H4</f>
        <v>1</v>
      </c>
      <c r="J4" s="8"/>
      <c r="K4" s="18" t="s">
        <v>17</v>
      </c>
      <c r="L4" s="19">
        <v>0.15</v>
      </c>
      <c r="M4" s="10">
        <v>9</v>
      </c>
      <c r="N4" s="2">
        <f>+L4*M4</f>
        <v>1.3499999999999999</v>
      </c>
    </row>
    <row r="5" spans="1:14" ht="15.6" x14ac:dyDescent="0.3">
      <c r="A5" s="27" t="s">
        <v>10</v>
      </c>
      <c r="B5" s="28">
        <v>0.1</v>
      </c>
      <c r="C5" s="2">
        <v>10</v>
      </c>
      <c r="D5" s="2">
        <f t="shared" ref="D5:D10" si="0">+B5*C5</f>
        <v>1</v>
      </c>
      <c r="E5" s="8"/>
      <c r="F5" s="27" t="s">
        <v>21</v>
      </c>
      <c r="G5" s="28">
        <v>0.1</v>
      </c>
      <c r="H5" s="2">
        <v>9</v>
      </c>
      <c r="I5" s="2">
        <f t="shared" ref="I5:I11" si="1">+G5*H5</f>
        <v>0.9</v>
      </c>
      <c r="J5" s="8"/>
      <c r="K5" s="27" t="s">
        <v>0</v>
      </c>
      <c r="L5" s="28">
        <v>0.15</v>
      </c>
      <c r="M5" s="10">
        <v>6</v>
      </c>
      <c r="N5" s="2">
        <f t="shared" ref="N5:N10" si="2">+L5*M5</f>
        <v>0.89999999999999991</v>
      </c>
    </row>
    <row r="6" spans="1:14" ht="15.6" x14ac:dyDescent="0.3">
      <c r="A6" s="30" t="s">
        <v>18</v>
      </c>
      <c r="B6" s="31">
        <v>0.1</v>
      </c>
      <c r="C6" s="32">
        <v>10</v>
      </c>
      <c r="D6" s="32">
        <f t="shared" si="0"/>
        <v>1</v>
      </c>
      <c r="E6" s="8"/>
      <c r="F6" s="18" t="s">
        <v>0</v>
      </c>
      <c r="G6" s="19">
        <v>0.15</v>
      </c>
      <c r="H6" s="2">
        <v>7.66</v>
      </c>
      <c r="I6" s="2">
        <f t="shared" si="1"/>
        <v>1.149</v>
      </c>
      <c r="J6" s="8"/>
      <c r="K6" s="53" t="s">
        <v>23</v>
      </c>
      <c r="L6" s="54">
        <v>0.05</v>
      </c>
      <c r="M6" s="33">
        <v>0</v>
      </c>
      <c r="N6" s="29">
        <f t="shared" si="2"/>
        <v>0</v>
      </c>
    </row>
    <row r="7" spans="1:14" ht="15.6" x14ac:dyDescent="0.3">
      <c r="A7" s="49" t="s">
        <v>11</v>
      </c>
      <c r="B7" s="50">
        <v>0.15</v>
      </c>
      <c r="C7" s="32"/>
      <c r="D7" s="32">
        <f t="shared" si="0"/>
        <v>0</v>
      </c>
      <c r="E7" s="8"/>
      <c r="F7" s="49" t="s">
        <v>18</v>
      </c>
      <c r="G7" s="50">
        <v>0.1</v>
      </c>
      <c r="H7" s="32"/>
      <c r="I7" s="32">
        <f t="shared" si="1"/>
        <v>0</v>
      </c>
      <c r="J7" s="8"/>
      <c r="K7" s="20" t="s">
        <v>18</v>
      </c>
      <c r="L7" s="21">
        <v>0.2</v>
      </c>
      <c r="M7" s="13">
        <v>0</v>
      </c>
      <c r="N7" s="3">
        <f t="shared" si="2"/>
        <v>0</v>
      </c>
    </row>
    <row r="8" spans="1:14" ht="15.6" x14ac:dyDescent="0.3">
      <c r="A8" s="22" t="s">
        <v>19</v>
      </c>
      <c r="B8" s="23">
        <v>0.1</v>
      </c>
      <c r="C8" s="3"/>
      <c r="D8" s="3">
        <f t="shared" si="0"/>
        <v>0</v>
      </c>
      <c r="E8" s="8"/>
      <c r="F8" s="22" t="s">
        <v>10</v>
      </c>
      <c r="G8" s="23">
        <v>0.15</v>
      </c>
      <c r="H8" s="14"/>
      <c r="I8" s="3">
        <f t="shared" si="1"/>
        <v>0</v>
      </c>
      <c r="J8" s="8"/>
      <c r="K8" s="22" t="s">
        <v>7</v>
      </c>
      <c r="L8" s="23">
        <v>0.1</v>
      </c>
      <c r="M8" s="13">
        <v>0</v>
      </c>
      <c r="N8" s="3">
        <f t="shared" si="2"/>
        <v>0</v>
      </c>
    </row>
    <row r="9" spans="1:14" ht="15.6" x14ac:dyDescent="0.3">
      <c r="A9" s="20" t="s">
        <v>20</v>
      </c>
      <c r="B9" s="21">
        <v>0.25</v>
      </c>
      <c r="C9" s="3"/>
      <c r="D9" s="3">
        <f t="shared" si="0"/>
        <v>0</v>
      </c>
      <c r="E9" s="8"/>
      <c r="F9" s="20" t="s">
        <v>7</v>
      </c>
      <c r="G9" s="21">
        <v>0.15</v>
      </c>
      <c r="H9" s="14"/>
      <c r="I9" s="3">
        <f t="shared" si="1"/>
        <v>0</v>
      </c>
      <c r="J9" s="8"/>
      <c r="K9" s="20" t="s">
        <v>24</v>
      </c>
      <c r="L9" s="21">
        <v>0.15</v>
      </c>
      <c r="M9" s="3">
        <v>0</v>
      </c>
      <c r="N9" s="3">
        <f t="shared" si="2"/>
        <v>0</v>
      </c>
    </row>
    <row r="10" spans="1:14" ht="15.6" x14ac:dyDescent="0.3">
      <c r="A10" s="22" t="s">
        <v>0</v>
      </c>
      <c r="B10" s="23">
        <v>0.25</v>
      </c>
      <c r="C10" s="3"/>
      <c r="D10" s="3">
        <f t="shared" si="0"/>
        <v>0</v>
      </c>
      <c r="E10" s="8"/>
      <c r="F10" s="22" t="s">
        <v>22</v>
      </c>
      <c r="G10" s="23">
        <v>0.1</v>
      </c>
      <c r="H10" s="14"/>
      <c r="I10" s="3">
        <f t="shared" si="1"/>
        <v>0</v>
      </c>
      <c r="J10" s="8"/>
      <c r="K10" s="22" t="s">
        <v>19</v>
      </c>
      <c r="L10" s="23">
        <v>0.2</v>
      </c>
      <c r="M10" s="3">
        <v>0</v>
      </c>
      <c r="N10" s="3">
        <f t="shared" si="2"/>
        <v>0</v>
      </c>
    </row>
    <row r="11" spans="1:14" ht="18" x14ac:dyDescent="0.35">
      <c r="A11" s="8"/>
      <c r="B11" s="15"/>
      <c r="C11" s="9"/>
      <c r="D11" s="17">
        <f>SUM(D4:D10)</f>
        <v>2.48</v>
      </c>
      <c r="E11" s="8"/>
      <c r="F11" s="20" t="s">
        <v>11</v>
      </c>
      <c r="G11" s="21">
        <v>0.15</v>
      </c>
      <c r="H11" s="3"/>
      <c r="I11" s="3">
        <f t="shared" si="1"/>
        <v>0</v>
      </c>
      <c r="J11" s="8"/>
      <c r="K11" s="8"/>
      <c r="L11" s="8"/>
      <c r="M11" s="8"/>
      <c r="N11" s="17">
        <f>SUM(N4:N10)</f>
        <v>2.25</v>
      </c>
    </row>
    <row r="12" spans="1:14" x14ac:dyDescent="0.3">
      <c r="A12" s="8"/>
      <c r="B12" s="9"/>
      <c r="C12" s="9"/>
      <c r="D12" s="8"/>
      <c r="E12" s="8"/>
      <c r="F12" s="8"/>
      <c r="G12" s="8"/>
      <c r="H12" s="8"/>
      <c r="I12" s="17">
        <f>SUM(I4:I11)</f>
        <v>3.0489999999999999</v>
      </c>
      <c r="J12" s="8"/>
      <c r="K12" s="8"/>
      <c r="L12" s="8"/>
      <c r="M12" s="8"/>
      <c r="N12" s="8"/>
    </row>
    <row r="13" spans="1:14" x14ac:dyDescent="0.3">
      <c r="A13" s="8"/>
      <c r="B13" s="9"/>
      <c r="C13" s="9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x14ac:dyDescent="0.3">
      <c r="A14" s="8"/>
      <c r="B14" s="9"/>
      <c r="C14" s="9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4" x14ac:dyDescent="0.3">
      <c r="A15" s="8"/>
      <c r="B15" s="9"/>
      <c r="C15" s="9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ht="15" thickBot="1" x14ac:dyDescent="0.35">
      <c r="A16" s="8"/>
      <c r="B16" s="9"/>
      <c r="C16" s="9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spans="1:14" ht="15" thickBot="1" x14ac:dyDescent="0.35">
      <c r="A17" s="34" t="s">
        <v>15</v>
      </c>
      <c r="B17" s="35"/>
      <c r="C17" s="35"/>
      <c r="D17" s="36"/>
      <c r="E17" s="8"/>
      <c r="F17" s="37" t="s">
        <v>16</v>
      </c>
      <c r="G17" s="38"/>
      <c r="H17" s="38"/>
      <c r="I17" s="39"/>
      <c r="J17" s="8"/>
      <c r="K17" s="8"/>
      <c r="L17" s="8"/>
      <c r="M17" s="8"/>
      <c r="N17" s="8"/>
    </row>
    <row r="18" spans="1:14" s="1" customFormat="1" x14ac:dyDescent="0.3">
      <c r="A18" s="4" t="s">
        <v>5</v>
      </c>
      <c r="B18" s="12" t="s">
        <v>3</v>
      </c>
      <c r="C18" s="6" t="s">
        <v>9</v>
      </c>
      <c r="D18" s="7" t="s">
        <v>4</v>
      </c>
      <c r="E18" s="11"/>
      <c r="F18" s="4" t="s">
        <v>1</v>
      </c>
      <c r="G18" s="12" t="s">
        <v>3</v>
      </c>
      <c r="H18" s="6" t="s">
        <v>3</v>
      </c>
      <c r="I18" s="7" t="s">
        <v>4</v>
      </c>
      <c r="J18" s="11"/>
      <c r="K18" s="11"/>
      <c r="L18" s="11"/>
      <c r="M18" s="11"/>
      <c r="N18" s="11"/>
    </row>
    <row r="19" spans="1:14" ht="15.6" x14ac:dyDescent="0.3">
      <c r="A19" s="18" t="s">
        <v>21</v>
      </c>
      <c r="B19" s="19">
        <v>0.05</v>
      </c>
      <c r="C19" s="2">
        <v>10</v>
      </c>
      <c r="D19" s="2">
        <f>+B19*C19</f>
        <v>0.5</v>
      </c>
      <c r="E19" s="8"/>
      <c r="F19" s="18" t="s">
        <v>29</v>
      </c>
      <c r="G19" s="19">
        <v>0.1</v>
      </c>
      <c r="H19" s="2">
        <v>10</v>
      </c>
      <c r="I19" s="2">
        <f>+G19*H19</f>
        <v>1</v>
      </c>
      <c r="J19" s="8"/>
      <c r="K19" s="8"/>
      <c r="L19" s="8"/>
      <c r="M19" s="8"/>
      <c r="N19" s="8"/>
    </row>
    <row r="20" spans="1:14" ht="15.6" x14ac:dyDescent="0.3">
      <c r="A20" s="27" t="s">
        <v>0</v>
      </c>
      <c r="B20" s="28">
        <v>0.1</v>
      </c>
      <c r="C20" s="2">
        <v>10</v>
      </c>
      <c r="D20" s="2">
        <f t="shared" ref="D20:D27" si="3">+B20*C20</f>
        <v>1</v>
      </c>
      <c r="E20" s="8"/>
      <c r="F20" s="30" t="s">
        <v>17</v>
      </c>
      <c r="G20" s="31">
        <v>0.15</v>
      </c>
      <c r="H20" s="32"/>
      <c r="I20" s="32">
        <f t="shared" ref="I20:I26" si="4">+G20*H20</f>
        <v>0</v>
      </c>
      <c r="J20" s="8"/>
      <c r="K20" s="8"/>
      <c r="L20" s="8"/>
      <c r="M20" s="8"/>
      <c r="N20" s="8"/>
    </row>
    <row r="21" spans="1:14" s="1" customFormat="1" ht="15.6" x14ac:dyDescent="0.3">
      <c r="A21" s="30" t="s">
        <v>7</v>
      </c>
      <c r="B21" s="31">
        <v>0.2</v>
      </c>
      <c r="C21" s="51"/>
      <c r="D21" s="32">
        <f t="shared" si="3"/>
        <v>0</v>
      </c>
      <c r="E21" s="8"/>
      <c r="F21" s="49" t="s">
        <v>0</v>
      </c>
      <c r="G21" s="50">
        <v>0.1</v>
      </c>
      <c r="H21" s="32"/>
      <c r="I21" s="32">
        <f t="shared" si="4"/>
        <v>0</v>
      </c>
      <c r="J21" s="8"/>
      <c r="K21" s="8"/>
      <c r="L21" s="8"/>
      <c r="M21" s="8"/>
      <c r="N21" s="8"/>
    </row>
    <row r="22" spans="1:14" ht="15.6" x14ac:dyDescent="0.3">
      <c r="A22" s="20" t="s">
        <v>8</v>
      </c>
      <c r="B22" s="21">
        <v>0.2</v>
      </c>
      <c r="C22" s="16"/>
      <c r="D22" s="3">
        <f t="shared" si="3"/>
        <v>0</v>
      </c>
      <c r="E22" s="8"/>
      <c r="F22" s="18" t="s">
        <v>30</v>
      </c>
      <c r="G22" s="19">
        <v>0.15</v>
      </c>
      <c r="H22" s="52"/>
      <c r="I22" s="2">
        <f t="shared" si="4"/>
        <v>0</v>
      </c>
      <c r="J22" s="8"/>
      <c r="K22" s="8"/>
      <c r="L22" s="8"/>
      <c r="M22" s="8"/>
      <c r="N22" s="8"/>
    </row>
    <row r="23" spans="1:14" ht="15.6" x14ac:dyDescent="0.3">
      <c r="A23" s="22" t="s">
        <v>22</v>
      </c>
      <c r="B23" s="23">
        <v>0.05</v>
      </c>
      <c r="C23" s="3"/>
      <c r="D23" s="3">
        <f t="shared" si="3"/>
        <v>0</v>
      </c>
      <c r="E23" s="8"/>
      <c r="F23" s="20" t="s">
        <v>31</v>
      </c>
      <c r="G23" s="21">
        <v>0.1</v>
      </c>
      <c r="H23" s="14"/>
      <c r="I23" s="3">
        <f t="shared" si="4"/>
        <v>0</v>
      </c>
      <c r="J23" s="8"/>
      <c r="K23" s="8"/>
      <c r="L23" s="8"/>
      <c r="M23" s="8"/>
      <c r="N23" s="8"/>
    </row>
    <row r="24" spans="1:14" ht="15.6" x14ac:dyDescent="0.3">
      <c r="A24" s="20" t="s">
        <v>25</v>
      </c>
      <c r="B24" s="24">
        <v>7.4999999999999997E-2</v>
      </c>
      <c r="C24" s="16"/>
      <c r="D24" s="3">
        <f t="shared" si="3"/>
        <v>0</v>
      </c>
      <c r="E24" s="8"/>
      <c r="F24" s="22" t="s">
        <v>7</v>
      </c>
      <c r="G24" s="23">
        <v>0.1</v>
      </c>
      <c r="H24" s="14"/>
      <c r="I24" s="3">
        <f t="shared" si="4"/>
        <v>0</v>
      </c>
      <c r="J24" s="8"/>
      <c r="K24" s="8"/>
      <c r="L24" s="8"/>
      <c r="M24" s="8"/>
      <c r="N24" s="8"/>
    </row>
    <row r="25" spans="1:14" ht="15.6" x14ac:dyDescent="0.3">
      <c r="A25" s="22" t="s">
        <v>26</v>
      </c>
      <c r="B25" s="25">
        <v>7.4999999999999997E-2</v>
      </c>
      <c r="C25" s="26"/>
      <c r="D25" s="3">
        <f t="shared" si="3"/>
        <v>0</v>
      </c>
      <c r="E25" s="8"/>
      <c r="F25" s="20" t="s">
        <v>32</v>
      </c>
      <c r="G25" s="21">
        <v>0.1</v>
      </c>
      <c r="H25" s="26"/>
      <c r="I25" s="3">
        <f t="shared" si="4"/>
        <v>0</v>
      </c>
      <c r="J25" s="8"/>
      <c r="K25" s="8"/>
      <c r="L25" s="8"/>
      <c r="M25" s="8"/>
      <c r="N25" s="8"/>
    </row>
    <row r="26" spans="1:14" ht="15.6" x14ac:dyDescent="0.3">
      <c r="A26" s="20" t="s">
        <v>27</v>
      </c>
      <c r="B26" s="21">
        <v>0.2</v>
      </c>
      <c r="C26" s="3"/>
      <c r="D26" s="3">
        <f t="shared" si="3"/>
        <v>0</v>
      </c>
      <c r="E26" s="8"/>
      <c r="F26" s="22" t="s">
        <v>33</v>
      </c>
      <c r="G26" s="23">
        <v>0.2</v>
      </c>
      <c r="H26" s="3"/>
      <c r="I26" s="3">
        <f t="shared" si="4"/>
        <v>0</v>
      </c>
      <c r="J26" s="8"/>
      <c r="K26" s="8"/>
      <c r="L26" s="8"/>
      <c r="M26" s="8"/>
      <c r="N26" s="8"/>
    </row>
    <row r="27" spans="1:14" ht="15.6" x14ac:dyDescent="0.3">
      <c r="A27" s="22" t="s">
        <v>28</v>
      </c>
      <c r="B27" s="23">
        <v>0.05</v>
      </c>
      <c r="C27" s="3"/>
      <c r="D27" s="3">
        <f t="shared" si="3"/>
        <v>0</v>
      </c>
      <c r="E27" s="8"/>
      <c r="I27" s="17">
        <f>SUM(I19:I26)</f>
        <v>1</v>
      </c>
      <c r="J27" s="8"/>
      <c r="K27" s="8"/>
      <c r="L27" s="8"/>
      <c r="M27" s="8"/>
      <c r="N27" s="8"/>
    </row>
    <row r="28" spans="1:14" x14ac:dyDescent="0.3">
      <c r="D28" s="17">
        <f>SUM(D19:D27)</f>
        <v>1.5</v>
      </c>
    </row>
  </sheetData>
  <mergeCells count="5">
    <mergeCell ref="A17:D17"/>
    <mergeCell ref="F17:I17"/>
    <mergeCell ref="A2:D2"/>
    <mergeCell ref="F2:I2"/>
    <mergeCell ref="K2:N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SoporteSV</dc:creator>
  <cp:lastModifiedBy>Luis Enrique Vasquez Menjivar</cp:lastModifiedBy>
  <dcterms:created xsi:type="dcterms:W3CDTF">2023-08-29T20:33:10Z</dcterms:created>
  <dcterms:modified xsi:type="dcterms:W3CDTF">2026-05-06T16:37:18Z</dcterms:modified>
</cp:coreProperties>
</file>