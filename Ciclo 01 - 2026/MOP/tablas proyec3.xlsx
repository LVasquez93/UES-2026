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6\Ciclo 01\MOP\"/>
    </mc:Choice>
  </mc:AlternateContent>
  <xr:revisionPtr revIDLastSave="0" documentId="13_ncr:1_{4B602FD4-36B6-42F2-A3BC-0A3ABB822E57}" xr6:coauthVersionLast="47" xr6:coauthVersionMax="47" xr10:uidLastSave="{00000000-0000-0000-0000-000000000000}"/>
  <bookViews>
    <workbookView xWindow="-120" yWindow="-120" windowWidth="20640" windowHeight="11160" activeTab="3" xr2:uid="{08690D0C-CD47-4E2F-B81D-4A21CEC24C14}"/>
  </bookViews>
  <sheets>
    <sheet name="Informe de respuestas 1" sheetId="2" r:id="rId1"/>
    <sheet name="Informe de sensibilidad 1" sheetId="3" r:id="rId2"/>
    <sheet name="Informe de límites 1" sheetId="4" r:id="rId3"/>
    <sheet name="Hoja1" sheetId="1" r:id="rId4"/>
  </sheets>
  <definedNames>
    <definedName name="solver_adj" localSheetId="3" hidden="1">Hoja1!$B$7:$B$8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Hoja1!$B$11</definedName>
    <definedName name="solver_lhs2" localSheetId="3" hidden="1">Hoja1!$B$12</definedName>
    <definedName name="solver_lhs3" localSheetId="3" hidden="1">Hoja1!$B$13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Hoja1!$B$10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hs1" localSheetId="3" hidden="1">60</definedName>
    <definedName name="solver_rhs2" localSheetId="3" hidden="1">40</definedName>
    <definedName name="solver_rhs3" localSheetId="3" hidden="1">20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</calcChain>
</file>

<file path=xl/sharedStrings.xml><?xml version="1.0" encoding="utf-8"?>
<sst xmlns="http://schemas.openxmlformats.org/spreadsheetml/2006/main" count="127" uniqueCount="76">
  <si>
    <t>Producto</t>
  </si>
  <si>
    <t>Pizza Gigante Suprema</t>
  </si>
  <si>
    <t>Pizza Personal Suprema</t>
  </si>
  <si>
    <t>Disponibilidad</t>
  </si>
  <si>
    <t>Ganancia</t>
  </si>
  <si>
    <t>Masa</t>
  </si>
  <si>
    <t>Queso</t>
  </si>
  <si>
    <t>Tiempo</t>
  </si>
  <si>
    <t>X1</t>
  </si>
  <si>
    <t>X2</t>
  </si>
  <si>
    <t>Ganancia Total</t>
  </si>
  <si>
    <t>Masa utilizada</t>
  </si>
  <si>
    <t>Queso utilizado</t>
  </si>
  <si>
    <t>Tiempo utilizado</t>
  </si>
  <si>
    <t>Microsoft Excel 16.0 Informe de respuestas</t>
  </si>
  <si>
    <t>Hoja de cálculo: [tablas proyec3.xlsx]Hoja1</t>
  </si>
  <si>
    <t>Informe creado: 8/6/2026 10:35:21 p.m.</t>
  </si>
  <si>
    <t>Resultado: Solver encontró una solución. Se cumplen todas las restricciones y condiciones óptimas.</t>
  </si>
  <si>
    <t>Motor de Solver</t>
  </si>
  <si>
    <t>Motor: Simplex LP</t>
  </si>
  <si>
    <t>Tiempo de la solución: 0.015 segundos.</t>
  </si>
  <si>
    <t>Iteraciones: 2 Subproblemas: 0</t>
  </si>
  <si>
    <t>Opciones de Solver</t>
  </si>
  <si>
    <t>Tiempo máximo Ilimitado,  Iteraciones Ilimitado, Precision 0.000001, Usar escala automática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</si>
  <si>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</si>
  <si>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</si>
  <si>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</si>
  <si>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</si>
  <si>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</si>
  <si>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</si>
  <si>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</si>
  <si>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</si>
  <si>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</si>
  <si>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</si>
  <si>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</si>
  <si>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</si>
  <si>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</si>
  <si>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$B$10</t>
  </si>
  <si>
    <t>Ganancia Total Pizza Gigante Suprema</t>
  </si>
  <si>
    <t>$B$7</t>
  </si>
  <si>
    <t>X1 Pizza Gigante Suprema</t>
  </si>
  <si>
    <t>Continuar</t>
  </si>
  <si>
    <t>$B$8</t>
  </si>
  <si>
    <t>X2 Pizza Gigante Suprema</t>
  </si>
  <si>
    <t>$B$11</t>
  </si>
  <si>
    <t>Masa utilizada Pizza Gigante Suprema</t>
  </si>
  <si>
    <t>$B$11&lt;=60</t>
  </si>
  <si>
    <t>Vinculante</t>
  </si>
  <si>
    <t>$B$12</t>
  </si>
  <si>
    <t>Queso utilizado Pizza Gigante Suprema</t>
  </si>
  <si>
    <t>$B$12&lt;=40</t>
  </si>
  <si>
    <t>$B$13</t>
  </si>
  <si>
    <t>Tiempo utilizado Pizza Gigante Suprema</t>
  </si>
  <si>
    <t>$B$13&lt;=20</t>
  </si>
  <si>
    <t>No vinculante</t>
  </si>
  <si>
    <t>Microsoft Excel 16.0 Informe de sensibilidad</t>
  </si>
  <si>
    <t>Informe creado: 8/6/2026 10:35:22 p.m.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</si>
  <si>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</si>
  <si>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</si>
  <si>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</si>
  <si>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</si>
  <si>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</si>
  <si>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</si>
  <si>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</si>
  <si>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</si>
  <si>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</si>
  <si>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</si>
  <si>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</si>
  <si>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</si>
  <si>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</si>
  <si>
    <t>Microsoft Excel 16.0 Informe de límites</t>
  </si>
  <si>
    <t>Variable</t>
  </si>
  <si>
    <t>Inferior</t>
  </si>
  <si>
    <t>Límite</t>
  </si>
  <si>
    <t>Resultado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</si>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</sst>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5" xfId="0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1" fontId="0" fillId="0" borderId="6" xfId="0" applyNumberFormat="1" applyFill="1" applyBorder="1" applyAlignment="1"/>
    <xf numFmtId="1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C197-38D1-413D-B8FD-442929D759A4}">
  <dimension ref="A1:G29"/>
  <sheetViews>
    <sheetView showGridLines="0" topLeftCell="A12" workbookViewId="0">
      <selection activeCell="D28" sqref="D28"/>
    </sheetView>
  </sheetViews>
  <sheetFormatPr baseColWidth="10" defaultRowHeight="15" x14ac:dyDescent="0.25"/>
  <cols>
    <col min="1" max="1" width="2.28515625" customWidth="1"/>
    <col min="2" max="2" width="6.140625" bestFit="1" customWidth="1"/>
    <col min="3" max="3" width="37" bestFit="1" customWidth="1"/>
    <col min="4" max="4" width="15.5703125" bestFit="1" customWidth="1"/>
    <col min="5" max="5" width="10.140625" bestFit="1" customWidth="1"/>
    <col min="6" max="6" width="13.28515625" bestFit="1" customWidth="1"/>
    <col min="7" max="7" width="8" bestFit="1" customWidth="1"/>
  </cols>
  <sheetData>
    <row r="1" spans="1:5" x14ac:dyDescent="0.25">
      <c r="A1" s="7" t="s">
        <v>14</v>
      </c>
    </row>
    <row r="2" spans="1:5" x14ac:dyDescent="0.25">
      <c r="A2" s="7" t="s">
        <v>15</v>
      </c>
    </row>
    <row r="3" spans="1:5" x14ac:dyDescent="0.25">
      <c r="A3" s="7" t="s">
        <v>16</v>
      </c>
    </row>
    <row r="4" spans="1:5" x14ac:dyDescent="0.25">
      <c r="A4" s="7" t="s">
        <v>17</v>
      </c>
    </row>
    <row r="5" spans="1:5" x14ac:dyDescent="0.25">
      <c r="A5" s="7" t="s">
        <v>18</v>
      </c>
    </row>
    <row r="6" spans="1:5" x14ac:dyDescent="0.25">
      <c r="A6" s="7"/>
      <c r="B6" t="s">
        <v>19</v>
      </c>
    </row>
    <row r="7" spans="1:5" x14ac:dyDescent="0.25">
      <c r="A7" s="7"/>
      <c r="B7" t="s">
        <v>20</v>
      </c>
    </row>
    <row r="8" spans="1:5" x14ac:dyDescent="0.25">
      <c r="A8" s="7"/>
      <c r="B8" t="s">
        <v>21</v>
      </c>
    </row>
    <row r="9" spans="1:5" x14ac:dyDescent="0.25">
      <c r="A9" s="7" t="s">
        <v>22</v>
      </c>
    </row>
    <row r="10" spans="1:5" x14ac:dyDescent="0.25">
      <c r="B10" t="s">
        <v>23</v>
      </c>
    </row>
    <row r="11" spans="1:5" x14ac:dyDescent="0.25">
      <c r="B11" t="s">
        <v>24</v>
      </c>
    </row>
    <row r="14" spans="1:5" ht="15.75" thickBot="1" x14ac:dyDescent="0.3">
      <c r="A14" t="s">
        <v>25</v>
      </c>
    </row>
    <row r="15" spans="1:5" ht="15.75" thickBot="1" x14ac:dyDescent="0.3">
      <c r="B15" s="9" t="s">
        <v>26</v>
      </c>
      <c r="C15" s="9" t="s">
        <v>27</v>
      </c>
      <c r="D15" s="9" t="s">
        <v>28</v>
      </c>
      <c r="E15" s="9" t="s">
        <v>29</v>
      </c>
    </row>
    <row r="16" spans="1:5" ht="15.75" thickBot="1" x14ac:dyDescent="0.3">
      <c r="B16" s="8" t="s">
        <v>37</v>
      </c>
      <c r="C16" s="8" t="s">
        <v>38</v>
      </c>
      <c r="D16" s="11">
        <v>140</v>
      </c>
      <c r="E16" s="11">
        <v>140</v>
      </c>
    </row>
    <row r="19" spans="1:7" ht="15.75" thickBot="1" x14ac:dyDescent="0.3">
      <c r="A19" t="s">
        <v>30</v>
      </c>
    </row>
    <row r="20" spans="1:7" ht="15.75" thickBot="1" x14ac:dyDescent="0.3">
      <c r="B20" s="9" t="s">
        <v>26</v>
      </c>
      <c r="C20" s="9" t="s">
        <v>27</v>
      </c>
      <c r="D20" s="9" t="s">
        <v>28</v>
      </c>
      <c r="E20" s="9" t="s">
        <v>29</v>
      </c>
      <c r="F20" s="9" t="s">
        <v>31</v>
      </c>
    </row>
    <row r="21" spans="1:7" x14ac:dyDescent="0.25">
      <c r="B21" s="10" t="s">
        <v>39</v>
      </c>
      <c r="C21" s="10" t="s">
        <v>40</v>
      </c>
      <c r="D21" s="12">
        <v>19.999999999999993</v>
      </c>
      <c r="E21" s="12">
        <v>19.999999999999993</v>
      </c>
      <c r="F21" s="10" t="s">
        <v>41</v>
      </c>
    </row>
    <row r="22" spans="1:7" ht="15.75" thickBot="1" x14ac:dyDescent="0.3">
      <c r="B22" s="8" t="s">
        <v>42</v>
      </c>
      <c r="C22" s="8" t="s">
        <v>43</v>
      </c>
      <c r="D22" s="13">
        <v>20.000000000000011</v>
      </c>
      <c r="E22" s="13">
        <v>20.000000000000011</v>
      </c>
      <c r="F22" s="8" t="s">
        <v>41</v>
      </c>
    </row>
    <row r="25" spans="1:7" ht="15.75" thickBot="1" x14ac:dyDescent="0.3">
      <c r="A25" t="s">
        <v>32</v>
      </c>
    </row>
    <row r="26" spans="1:7" ht="15.75" thickBot="1" x14ac:dyDescent="0.3">
      <c r="B26" s="9" t="s">
        <v>26</v>
      </c>
      <c r="C26" s="9" t="s">
        <v>27</v>
      </c>
      <c r="D26" s="9" t="s">
        <v>33</v>
      </c>
      <c r="E26" s="9" t="s">
        <v>34</v>
      </c>
      <c r="F26" s="9" t="s">
        <v>35</v>
      </c>
      <c r="G26" s="9" t="s">
        <v>36</v>
      </c>
    </row>
    <row r="27" spans="1:7" x14ac:dyDescent="0.25">
      <c r="B27" s="10" t="s">
        <v>44</v>
      </c>
      <c r="C27" s="10" t="s">
        <v>45</v>
      </c>
      <c r="D27" s="14">
        <v>60</v>
      </c>
      <c r="E27" s="10" t="s">
        <v>46</v>
      </c>
      <c r="F27" s="10" t="s">
        <v>47</v>
      </c>
      <c r="G27" s="10">
        <v>0</v>
      </c>
    </row>
    <row r="28" spans="1:7" x14ac:dyDescent="0.25">
      <c r="B28" s="10" t="s">
        <v>48</v>
      </c>
      <c r="C28" s="10" t="s">
        <v>49</v>
      </c>
      <c r="D28" s="14">
        <v>39.999999999999993</v>
      </c>
      <c r="E28" s="10" t="s">
        <v>50</v>
      </c>
      <c r="F28" s="10" t="s">
        <v>47</v>
      </c>
      <c r="G28" s="10">
        <v>0</v>
      </c>
    </row>
    <row r="29" spans="1:7" ht="15.75" thickBot="1" x14ac:dyDescent="0.3">
      <c r="B29" s="8" t="s">
        <v>51</v>
      </c>
      <c r="C29" s="8" t="s">
        <v>52</v>
      </c>
      <c r="D29" s="11">
        <v>15</v>
      </c>
      <c r="E29" s="8" t="s">
        <v>53</v>
      </c>
      <c r="F29" s="8" t="s">
        <v>54</v>
      </c>
      <c r="G29" s="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BF4C-47CF-4888-97B7-45E171C111B3}">
  <dimension ref="A1:H17"/>
  <sheetViews>
    <sheetView showGridLines="0" workbookViewId="0">
      <selection activeCell="H15" sqref="H15"/>
    </sheetView>
  </sheetViews>
  <sheetFormatPr baseColWidth="10" defaultRowHeight="15" x14ac:dyDescent="0.25"/>
  <cols>
    <col min="1" max="1" width="2.28515625" customWidth="1"/>
    <col min="2" max="2" width="6.140625" bestFit="1" customWidth="1"/>
    <col min="3" max="3" width="37" bestFit="1" customWidth="1"/>
    <col min="4" max="4" width="5.7109375" bestFit="1" customWidth="1"/>
    <col min="5" max="5" width="9.28515625" bestFit="1" customWidth="1"/>
    <col min="6" max="6" width="12.85546875" bestFit="1" customWidth="1"/>
    <col min="7" max="7" width="10.5703125" bestFit="1" customWidth="1"/>
    <col min="8" max="8" width="12" bestFit="1" customWidth="1"/>
  </cols>
  <sheetData>
    <row r="1" spans="1:8" x14ac:dyDescent="0.25">
      <c r="A1" s="7" t="s">
        <v>55</v>
      </c>
    </row>
    <row r="2" spans="1:8" x14ac:dyDescent="0.25">
      <c r="A2" s="7" t="s">
        <v>15</v>
      </c>
    </row>
    <row r="3" spans="1:8" x14ac:dyDescent="0.25">
      <c r="A3" s="7" t="s">
        <v>56</v>
      </c>
    </row>
    <row r="6" spans="1:8" ht="15.75" thickBot="1" x14ac:dyDescent="0.3">
      <c r="A6" t="s">
        <v>30</v>
      </c>
    </row>
    <row r="7" spans="1:8" x14ac:dyDescent="0.25">
      <c r="B7" s="15"/>
      <c r="C7" s="15"/>
      <c r="D7" s="15" t="s">
        <v>57</v>
      </c>
      <c r="E7" s="15" t="s">
        <v>59</v>
      </c>
      <c r="F7" s="15" t="s">
        <v>61</v>
      </c>
      <c r="G7" s="15" t="s">
        <v>63</v>
      </c>
      <c r="H7" s="15" t="s">
        <v>63</v>
      </c>
    </row>
    <row r="8" spans="1:8" ht="15.75" thickBot="1" x14ac:dyDescent="0.3">
      <c r="B8" s="16" t="s">
        <v>26</v>
      </c>
      <c r="C8" s="16" t="s">
        <v>27</v>
      </c>
      <c r="D8" s="16" t="s">
        <v>58</v>
      </c>
      <c r="E8" s="16" t="s">
        <v>60</v>
      </c>
      <c r="F8" s="16" t="s">
        <v>62</v>
      </c>
      <c r="G8" s="16" t="s">
        <v>64</v>
      </c>
      <c r="H8" s="16" t="s">
        <v>65</v>
      </c>
    </row>
    <row r="9" spans="1:8" x14ac:dyDescent="0.25">
      <c r="B9" s="10" t="s">
        <v>39</v>
      </c>
      <c r="C9" s="10" t="s">
        <v>40</v>
      </c>
      <c r="D9" s="10">
        <v>19.999999999999993</v>
      </c>
      <c r="E9" s="10">
        <v>0</v>
      </c>
      <c r="F9" s="10">
        <v>5</v>
      </c>
      <c r="G9" s="10">
        <v>1.0000000000000004</v>
      </c>
      <c r="H9" s="10">
        <v>0.99999999999999989</v>
      </c>
    </row>
    <row r="10" spans="1:8" ht="15.75" thickBot="1" x14ac:dyDescent="0.3">
      <c r="B10" s="8" t="s">
        <v>42</v>
      </c>
      <c r="C10" s="8" t="s">
        <v>43</v>
      </c>
      <c r="D10" s="8">
        <v>20.000000000000011</v>
      </c>
      <c r="E10" s="8">
        <v>0</v>
      </c>
      <c r="F10" s="8">
        <v>2</v>
      </c>
      <c r="G10" s="8">
        <v>0.49999999999999994</v>
      </c>
      <c r="H10" s="8">
        <v>0.33333333333333348</v>
      </c>
    </row>
    <row r="12" spans="1:8" ht="15.75" thickBot="1" x14ac:dyDescent="0.3">
      <c r="A12" t="s">
        <v>32</v>
      </c>
    </row>
    <row r="13" spans="1:8" x14ac:dyDescent="0.25">
      <c r="B13" s="15"/>
      <c r="C13" s="15"/>
      <c r="D13" s="15" t="s">
        <v>57</v>
      </c>
      <c r="E13" s="15" t="s">
        <v>66</v>
      </c>
      <c r="F13" s="15" t="s">
        <v>68</v>
      </c>
      <c r="G13" s="15" t="s">
        <v>63</v>
      </c>
      <c r="H13" s="15" t="s">
        <v>63</v>
      </c>
    </row>
    <row r="14" spans="1:8" ht="15.75" thickBot="1" x14ac:dyDescent="0.3">
      <c r="B14" s="16" t="s">
        <v>26</v>
      </c>
      <c r="C14" s="16" t="s">
        <v>27</v>
      </c>
      <c r="D14" s="16" t="s">
        <v>58</v>
      </c>
      <c r="E14" s="16" t="s">
        <v>67</v>
      </c>
      <c r="F14" s="16" t="s">
        <v>69</v>
      </c>
      <c r="G14" s="16" t="s">
        <v>64</v>
      </c>
      <c r="H14" s="16" t="s">
        <v>65</v>
      </c>
    </row>
    <row r="15" spans="1:8" x14ac:dyDescent="0.25">
      <c r="B15" s="10" t="s">
        <v>44</v>
      </c>
      <c r="C15" s="10" t="s">
        <v>45</v>
      </c>
      <c r="D15" s="10">
        <v>60</v>
      </c>
      <c r="E15" s="10">
        <v>1.0000000000000002</v>
      </c>
      <c r="F15" s="10">
        <v>60</v>
      </c>
      <c r="G15" s="10">
        <v>19.999999999999996</v>
      </c>
      <c r="H15" s="10">
        <v>6.6666666666666714</v>
      </c>
    </row>
    <row r="16" spans="1:8" x14ac:dyDescent="0.25">
      <c r="B16" s="10" t="s">
        <v>48</v>
      </c>
      <c r="C16" s="10" t="s">
        <v>49</v>
      </c>
      <c r="D16" s="10">
        <v>39.999999999999993</v>
      </c>
      <c r="E16" s="10">
        <v>1.9999999999999993</v>
      </c>
      <c r="F16" s="10">
        <v>40</v>
      </c>
      <c r="G16" s="10">
        <v>5.0000000000000036</v>
      </c>
      <c r="H16" s="10">
        <v>9.9999999999999982</v>
      </c>
    </row>
    <row r="17" spans="2:8" ht="15.75" thickBot="1" x14ac:dyDescent="0.3">
      <c r="B17" s="8" t="s">
        <v>51</v>
      </c>
      <c r="C17" s="8" t="s">
        <v>52</v>
      </c>
      <c r="D17" s="8">
        <v>15</v>
      </c>
      <c r="E17" s="8">
        <v>0</v>
      </c>
      <c r="F17" s="8">
        <v>20</v>
      </c>
      <c r="G17" s="8">
        <v>1E+30</v>
      </c>
      <c r="H17" s="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8867-6770-4974-B655-45BB7B22BDE2}">
  <dimension ref="A1:J14"/>
  <sheetViews>
    <sheetView showGridLines="0" workbookViewId="0">
      <selection activeCell="I14" sqref="I14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8.425781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7" t="s">
        <v>70</v>
      </c>
    </row>
    <row r="2" spans="1:10" x14ac:dyDescent="0.25">
      <c r="A2" s="7" t="s">
        <v>15</v>
      </c>
    </row>
    <row r="3" spans="1:10" x14ac:dyDescent="0.25">
      <c r="A3" s="7" t="s">
        <v>56</v>
      </c>
    </row>
    <row r="5" spans="1:10" ht="15.75" thickBot="1" x14ac:dyDescent="0.3"/>
    <row r="6" spans="1:10" x14ac:dyDescent="0.25">
      <c r="B6" s="15"/>
      <c r="C6" s="15" t="s">
        <v>61</v>
      </c>
      <c r="D6" s="15"/>
    </row>
    <row r="7" spans="1:10" ht="15.75" thickBot="1" x14ac:dyDescent="0.3">
      <c r="B7" s="16" t="s">
        <v>26</v>
      </c>
      <c r="C7" s="16" t="s">
        <v>27</v>
      </c>
      <c r="D7" s="16" t="s">
        <v>58</v>
      </c>
    </row>
    <row r="8" spans="1:10" ht="15.75" thickBot="1" x14ac:dyDescent="0.3">
      <c r="B8" s="8" t="s">
        <v>37</v>
      </c>
      <c r="C8" s="8" t="s">
        <v>38</v>
      </c>
      <c r="D8" s="11">
        <v>140</v>
      </c>
    </row>
    <row r="10" spans="1:10" ht="15.75" thickBot="1" x14ac:dyDescent="0.3"/>
    <row r="11" spans="1:10" x14ac:dyDescent="0.25">
      <c r="B11" s="15"/>
      <c r="C11" s="15" t="s">
        <v>71</v>
      </c>
      <c r="D11" s="15"/>
      <c r="F11" s="15" t="s">
        <v>72</v>
      </c>
      <c r="G11" s="15" t="s">
        <v>61</v>
      </c>
      <c r="I11" s="15" t="s">
        <v>75</v>
      </c>
      <c r="J11" s="15" t="s">
        <v>61</v>
      </c>
    </row>
    <row r="12" spans="1:10" ht="15.75" thickBot="1" x14ac:dyDescent="0.3">
      <c r="B12" s="16" t="s">
        <v>26</v>
      </c>
      <c r="C12" s="16" t="s">
        <v>27</v>
      </c>
      <c r="D12" s="16" t="s">
        <v>58</v>
      </c>
      <c r="F12" s="16" t="s">
        <v>73</v>
      </c>
      <c r="G12" s="16" t="s">
        <v>74</v>
      </c>
      <c r="I12" s="16" t="s">
        <v>73</v>
      </c>
      <c r="J12" s="16" t="s">
        <v>74</v>
      </c>
    </row>
    <row r="13" spans="1:10" x14ac:dyDescent="0.25">
      <c r="B13" s="10" t="s">
        <v>39</v>
      </c>
      <c r="C13" s="10" t="s">
        <v>40</v>
      </c>
      <c r="D13" s="12">
        <v>19.999999999999993</v>
      </c>
      <c r="F13" s="12">
        <v>0</v>
      </c>
      <c r="G13" s="12">
        <v>40.000000000000021</v>
      </c>
      <c r="I13" s="12">
        <v>19.999999999999993</v>
      </c>
      <c r="J13" s="12">
        <v>140</v>
      </c>
    </row>
    <row r="14" spans="1:10" ht="15.75" thickBot="1" x14ac:dyDescent="0.3">
      <c r="B14" s="8" t="s">
        <v>42</v>
      </c>
      <c r="C14" s="8" t="s">
        <v>43</v>
      </c>
      <c r="D14" s="13">
        <v>20.000000000000011</v>
      </c>
      <c r="F14" s="13">
        <v>0</v>
      </c>
      <c r="G14" s="13">
        <v>99.999999999999972</v>
      </c>
      <c r="I14" s="13">
        <v>20.000000000000014</v>
      </c>
      <c r="J14" s="13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8C2F-02F9-4346-8CDA-98F77CAD59B4}">
  <dimension ref="A1:D13"/>
  <sheetViews>
    <sheetView tabSelected="1" workbookViewId="0">
      <selection activeCell="B13" sqref="B13"/>
    </sheetView>
  </sheetViews>
  <sheetFormatPr baseColWidth="10" defaultColWidth="11.5703125" defaultRowHeight="15" x14ac:dyDescent="0.25"/>
  <cols>
    <col min="1" max="1" width="14.42578125" style="1" bestFit="1" customWidth="1"/>
    <col min="2" max="2" width="22.28515625" style="1" bestFit="1" customWidth="1"/>
    <col min="3" max="3" width="22.85546875" style="1" bestFit="1" customWidth="1"/>
    <col min="4" max="4" width="14.5703125" style="1" bestFit="1" customWidth="1"/>
    <col min="5" max="16384" width="11.5703125" style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2" t="s">
        <v>4</v>
      </c>
      <c r="B2" s="2">
        <v>5</v>
      </c>
      <c r="C2" s="2">
        <v>2</v>
      </c>
      <c r="D2" s="2"/>
    </row>
    <row r="3" spans="1:4" x14ac:dyDescent="0.25">
      <c r="A3" s="2" t="s">
        <v>5</v>
      </c>
      <c r="B3" s="2">
        <v>2</v>
      </c>
      <c r="C3" s="2">
        <v>1</v>
      </c>
      <c r="D3" s="2">
        <v>60</v>
      </c>
    </row>
    <row r="4" spans="1:4" x14ac:dyDescent="0.25">
      <c r="A4" s="2" t="s">
        <v>6</v>
      </c>
      <c r="B4" s="2">
        <v>1.5</v>
      </c>
      <c r="C4" s="2">
        <v>0.5</v>
      </c>
      <c r="D4" s="2">
        <v>40</v>
      </c>
    </row>
    <row r="5" spans="1:4" x14ac:dyDescent="0.25">
      <c r="A5" s="2" t="s">
        <v>7</v>
      </c>
      <c r="B5" s="2">
        <v>0.5</v>
      </c>
      <c r="C5" s="2">
        <v>0.25</v>
      </c>
      <c r="D5" s="2">
        <v>20</v>
      </c>
    </row>
    <row r="7" spans="1:4" x14ac:dyDescent="0.25">
      <c r="A7" s="5" t="s">
        <v>8</v>
      </c>
      <c r="B7" s="3">
        <v>19.999999999999993</v>
      </c>
    </row>
    <row r="8" spans="1:4" x14ac:dyDescent="0.25">
      <c r="A8" s="5" t="s">
        <v>9</v>
      </c>
      <c r="B8" s="3">
        <v>20.000000000000011</v>
      </c>
    </row>
    <row r="10" spans="1:4" x14ac:dyDescent="0.25">
      <c r="A10" s="5" t="s">
        <v>10</v>
      </c>
      <c r="B10" s="6">
        <f>B7*$B$2+B8*$C$2</f>
        <v>140</v>
      </c>
    </row>
    <row r="11" spans="1:4" x14ac:dyDescent="0.25">
      <c r="A11" s="5" t="s">
        <v>11</v>
      </c>
      <c r="B11" s="6">
        <f>B7*$B$3+B8*$C$3</f>
        <v>60</v>
      </c>
    </row>
    <row r="12" spans="1:4" x14ac:dyDescent="0.25">
      <c r="A12" s="5" t="s">
        <v>12</v>
      </c>
      <c r="B12" s="6">
        <f>B7*$B$4+B8*$C$4</f>
        <v>39.999999999999993</v>
      </c>
      <c r="D12" s="4"/>
    </row>
    <row r="13" spans="1:4" x14ac:dyDescent="0.25">
      <c r="A13" s="5" t="s">
        <v>13</v>
      </c>
      <c r="B13" s="6">
        <f>B7*$B$5+B8*$C$5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de respuestas 1</vt:lpstr>
      <vt:lpstr>Informe de sensibilidad 1</vt:lpstr>
      <vt:lpstr>Informe de límites 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monterrosa</dc:creator>
  <cp:lastModifiedBy>Luis Enrique Vasquez Menjivar</cp:lastModifiedBy>
  <dcterms:created xsi:type="dcterms:W3CDTF">2026-06-08T00:24:24Z</dcterms:created>
  <dcterms:modified xsi:type="dcterms:W3CDTF">2026-06-09T04:41:14Z</dcterms:modified>
</cp:coreProperties>
</file>