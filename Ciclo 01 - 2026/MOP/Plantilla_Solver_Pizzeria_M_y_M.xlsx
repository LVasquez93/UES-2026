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uizi\OneDrive\Escritorio\UES-2026\Ciclo 01\MOP\"/>
    </mc:Choice>
  </mc:AlternateContent>
  <xr:revisionPtr revIDLastSave="0" documentId="13_ncr:1_{A7E8A538-62FF-42E8-9F75-1DD0B65A355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nforme de respuestas 3" sheetId="9" r:id="rId1"/>
    <sheet name="Informe de sensibilidad 3" sheetId="10" r:id="rId2"/>
    <sheet name="Informe de límites 3" sheetId="11" r:id="rId3"/>
    <sheet name="Modelo" sheetId="1" r:id="rId4"/>
  </sheets>
  <definedNames>
    <definedName name="solver_adj" localSheetId="3" hidden="1">Modelo!$C$5:$F$5</definedName>
    <definedName name="solver_cvg" localSheetId="3" hidden="1">0.0001</definedName>
    <definedName name="solver_drv" localSheetId="3" hidden="1">1</definedName>
    <definedName name="solver_eng" localSheetId="3" hidden="1">2</definedName>
    <definedName name="solver_est" localSheetId="3" hidden="1">1</definedName>
    <definedName name="solver_itr" localSheetId="3" hidden="1">2147483647</definedName>
    <definedName name="solver_lhs1" localSheetId="3" hidden="1">Modelo!$C$5</definedName>
    <definedName name="solver_lhs2" localSheetId="3" hidden="1">Modelo!$C$5</definedName>
    <definedName name="solver_lhs3" localSheetId="3" hidden="1">Modelo!$D$5</definedName>
    <definedName name="solver_lhs4" localSheetId="3" hidden="1">Modelo!$D$5</definedName>
    <definedName name="solver_lhs5" localSheetId="3" hidden="1">Modelo!$E$5</definedName>
    <definedName name="solver_lhs6" localSheetId="3" hidden="1">Modelo!$E$5</definedName>
    <definedName name="solver_lhs7" localSheetId="3" hidden="1">Modelo!$F$5</definedName>
    <definedName name="solver_lhs8" localSheetId="3" hidden="1">Modelo!$F$5</definedName>
    <definedName name="solver_lhs9" localSheetId="3" hidden="1">Modelo!$G$11:$G$15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9</definedName>
    <definedName name="solver_nwt" localSheetId="3" hidden="1">1</definedName>
    <definedName name="solver_opt" localSheetId="3" hidden="1">Modelo!$C$7</definedName>
    <definedName name="solver_pre" localSheetId="3" hidden="1">0.000001</definedName>
    <definedName name="solver_rbv" localSheetId="3" hidden="1">1</definedName>
    <definedName name="solver_rel1" localSheetId="3" hidden="1">1</definedName>
    <definedName name="solver_rel2" localSheetId="3" hidden="1">3</definedName>
    <definedName name="solver_rel3" localSheetId="3" hidden="1">1</definedName>
    <definedName name="solver_rel4" localSheetId="3" hidden="1">3</definedName>
    <definedName name="solver_rel5" localSheetId="3" hidden="1">1</definedName>
    <definedName name="solver_rel6" localSheetId="3" hidden="1">3</definedName>
    <definedName name="solver_rel7" localSheetId="3" hidden="1">1</definedName>
    <definedName name="solver_rel8" localSheetId="3" hidden="1">3</definedName>
    <definedName name="solver_rel9" localSheetId="3" hidden="1">1</definedName>
    <definedName name="solver_rhs1" localSheetId="3" hidden="1">Modelo!$E$21</definedName>
    <definedName name="solver_rhs2" localSheetId="3" hidden="1">Modelo!$E$25</definedName>
    <definedName name="solver_rhs3" localSheetId="3" hidden="1">Modelo!$E$22</definedName>
    <definedName name="solver_rhs4" localSheetId="3" hidden="1">Modelo!$E$26</definedName>
    <definedName name="solver_rhs5" localSheetId="3" hidden="1">Modelo!$E$23</definedName>
    <definedName name="solver_rhs6" localSheetId="3" hidden="1">Modelo!$E$27</definedName>
    <definedName name="solver_rhs7" localSheetId="3" hidden="1">Modelo!$E$24</definedName>
    <definedName name="solver_rhs8" localSheetId="3" hidden="1">Modelo!$E$28</definedName>
    <definedName name="solver_rhs9" localSheetId="3" hidden="1">Modelo!$I$11:$I$15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2" hidden="1">2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1" l="1"/>
  <c r="C27" i="1"/>
  <c r="C26" i="1"/>
  <c r="C25" i="1"/>
  <c r="C24" i="1"/>
  <c r="C23" i="1"/>
  <c r="C22" i="1"/>
  <c r="C21" i="1"/>
  <c r="G15" i="1"/>
  <c r="J15" i="1" s="1"/>
  <c r="G14" i="1"/>
  <c r="J14" i="1" s="1"/>
  <c r="G13" i="1"/>
  <c r="J13" i="1" s="1"/>
  <c r="G12" i="1"/>
  <c r="J12" i="1" s="1"/>
  <c r="G11" i="1"/>
  <c r="J11" i="1" s="1"/>
  <c r="C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7" authorId="0" shapeId="0" xr:uid="{00000000-0006-0000-0000-000001000000}">
      <text>
        <r>
          <rPr>
            <sz val="10"/>
            <rFont val="Arial"/>
            <family val="2"/>
          </rPr>
          <t>CELDA OBJETIVO de Solver (Máx).</t>
        </r>
      </text>
    </comment>
  </commentList>
</comments>
</file>

<file path=xl/sharedStrings.xml><?xml version="1.0" encoding="utf-8"?>
<sst xmlns="http://schemas.openxmlformats.org/spreadsheetml/2006/main" count="244" uniqueCount="117">
  <si>
    <t>PIZZERÍA M Y M — MODELO DE PROGRAMACIÓN LINEAL (MÉTODO SIMPLEX)</t>
  </si>
  <si>
    <t>VARIABLES DE DECISIÓN Y FUNCIÓN OBJETIVO</t>
  </si>
  <si>
    <t>X1 Gigante</t>
  </si>
  <si>
    <t>X2 Personal</t>
  </si>
  <si>
    <t>X3 Mediana</t>
  </si>
  <si>
    <t>X4 Pan con Ajo</t>
  </si>
  <si>
    <t>Cantidad a producir  (VARIABLES)</t>
  </si>
  <si>
    <t>Ganancia unitaria ($/u)</t>
  </si>
  <si>
    <t>GANANCIA TOTAL (Z)  →  MAXIMIZAR</t>
  </si>
  <si>
    <t>RESTRICCIONES DE RECURSOS</t>
  </si>
  <si>
    <t>Recurso</t>
  </si>
  <si>
    <t>X1</t>
  </si>
  <si>
    <t>X2</t>
  </si>
  <si>
    <t>X3</t>
  </si>
  <si>
    <t>X4</t>
  </si>
  <si>
    <t>Consumo</t>
  </si>
  <si>
    <t>Disponible</t>
  </si>
  <si>
    <t>Estado</t>
  </si>
  <si>
    <t>Masa (porciones)</t>
  </si>
  <si>
    <t>&lt;=</t>
  </si>
  <si>
    <t>Queso (lb)</t>
  </si>
  <si>
    <t>Salsa (L)</t>
  </si>
  <si>
    <t>Tiempo prep. (horas-hombre)</t>
  </si>
  <si>
    <t>Horno (min)</t>
  </si>
  <si>
    <t>RESTRICCIONES DE DEMANDA Y PEDIDO MÍNIMO</t>
  </si>
  <si>
    <t>Producto</t>
  </si>
  <si>
    <t>Cantidad</t>
  </si>
  <si>
    <t>Límite</t>
  </si>
  <si>
    <t>Tipo</t>
  </si>
  <si>
    <t>demanda máxima</t>
  </si>
  <si>
    <t>&gt;=</t>
  </si>
  <si>
    <t>pedido mínimo</t>
  </si>
  <si>
    <t>Microsoft Excel 16.0 Informe de respuestas</t>
  </si>
  <si>
    <t>Resultado: Solver encontró una solución. Se cumplen todas las restricciones y condiciones óptimas.</t>
  </si>
  <si>
    <t>Motor de Solver</t>
  </si>
  <si>
    <t>Motor: Simplex LP</t>
  </si>
  <si>
    <t>Opciones de Solver</t>
  </si>
  <si>
    <t>Tiempo máximo Ilimitado,  Iteraciones Ilimitado, Precision 0,000001, Usar escala automática</t>
  </si>
  <si>
    <t>Máximo de subproblemas Ilimitado, Máximo de soluciones de enteros Ilimitado, Tolerancia de enteros 1%, Asumir no negativo</t>
  </si>
  <si>
    <t>Celda objetivo (Máx)</t>
  </si>
  <si>
    <t>Celda</t>
  </si>
  <si>
    <t>Nombre</t>
  </si>
  <si>
    <t>Valor original</t>
  </si>
  <si>
    <t>Valor final</t>
  </si>
  <si>
    <t>Celdas de variables</t>
  </si>
  <si>
    <t>Entero</t>
  </si>
  <si>
    <t>Restricciones</t>
  </si>
  <si>
    <t>Valor de la celda</t>
  </si>
  <si>
    <t>Fórmula</t>
  </si>
  <si>
    <t>Demora</t>
  </si>
  <si>
    <t>$C$7</t>
  </si>
  <si>
    <t>GANANCIA TOTAL (Z)  →  MAXIMIZAR X1 Gigante</t>
  </si>
  <si>
    <t>$C$5</t>
  </si>
  <si>
    <t>Cantidad a producir  (VARIABLES) X1 Gigante</t>
  </si>
  <si>
    <t>Continuar</t>
  </si>
  <si>
    <t>$D$5</t>
  </si>
  <si>
    <t>Cantidad a producir  (VARIABLES) X2 Personal</t>
  </si>
  <si>
    <t>$E$5</t>
  </si>
  <si>
    <t>Cantidad a producir  (VARIABLES) X3 Mediana</t>
  </si>
  <si>
    <t>$F$5</t>
  </si>
  <si>
    <t>Cantidad a producir  (VARIABLES) X4 Pan con Ajo</t>
  </si>
  <si>
    <t>$G$11</t>
  </si>
  <si>
    <t>Masa (porciones) Consumo</t>
  </si>
  <si>
    <t>$G$11&lt;=$I$11</t>
  </si>
  <si>
    <t>No vinculante</t>
  </si>
  <si>
    <t>$G$12</t>
  </si>
  <si>
    <t>Queso (lb) Consumo</t>
  </si>
  <si>
    <t>$G$12&lt;=$I$12</t>
  </si>
  <si>
    <t>Vinculante</t>
  </si>
  <si>
    <t>$G$13</t>
  </si>
  <si>
    <t>Salsa (L) Consumo</t>
  </si>
  <si>
    <t>$G$13&lt;=$I$13</t>
  </si>
  <si>
    <t>$G$14</t>
  </si>
  <si>
    <t>Tiempo prep. (horas-hombre) Consumo</t>
  </si>
  <si>
    <t>$G$14&lt;=$I$14</t>
  </si>
  <si>
    <t>$G$15</t>
  </si>
  <si>
    <t>Horno (min) Consumo</t>
  </si>
  <si>
    <t>$G$15&lt;=$I$15</t>
  </si>
  <si>
    <t>$C$5:$F$5</t>
  </si>
  <si>
    <t>Microsoft Excel 16.0 Informe de sensibilidad</t>
  </si>
  <si>
    <t>Final</t>
  </si>
  <si>
    <t>Valor</t>
  </si>
  <si>
    <t>Reducido</t>
  </si>
  <si>
    <t>Coste</t>
  </si>
  <si>
    <t>Objetivo</t>
  </si>
  <si>
    <t>Coeficiente</t>
  </si>
  <si>
    <t>Permisible</t>
  </si>
  <si>
    <t>Aumentar</t>
  </si>
  <si>
    <t>Reducir</t>
  </si>
  <si>
    <t>Sombra</t>
  </si>
  <si>
    <t>Precio</t>
  </si>
  <si>
    <t>Restricción</t>
  </si>
  <si>
    <t>Lado derecho</t>
  </si>
  <si>
    <t>Microsoft Excel 16.0 Informe de límites</t>
  </si>
  <si>
    <t>Variable</t>
  </si>
  <si>
    <t>Inferior</t>
  </si>
  <si>
    <t>Resultado</t>
  </si>
  <si>
    <t>Superior</t>
  </si>
  <si>
    <t>Hoja de cálculo: [Plantilla_Solver_Pizzeria_M_y_M.xlsx]Modelo</t>
  </si>
  <si>
    <t>Tiempo de la solución: 0,047 segundos.</t>
  </si>
  <si>
    <t>Iteraciones: 5 Subproblemas: 0</t>
  </si>
  <si>
    <t>$C$5:$F$5 Consumo</t>
  </si>
  <si>
    <t>$G$16</t>
  </si>
  <si>
    <t>$G$16&lt;=$I$16</t>
  </si>
  <si>
    <t>Informe creado: 10/06/2026 05:37:58 PM</t>
  </si>
  <si>
    <t>$G$17</t>
  </si>
  <si>
    <t>$G$17&lt;=$I$17</t>
  </si>
  <si>
    <t>$C$5&lt;=$E$23</t>
  </si>
  <si>
    <t>$C$5&gt;=$E$27</t>
  </si>
  <si>
    <t>$D$5&lt;=$E$24</t>
  </si>
  <si>
    <t>$D$5&gt;=$E$28</t>
  </si>
  <si>
    <t>$E$5&lt;=$E$25</t>
  </si>
  <si>
    <t>$E$5&gt;=$E$29</t>
  </si>
  <si>
    <t>$F$5&lt;=$E$26</t>
  </si>
  <si>
    <t>$F$5&gt;=$E$30</t>
  </si>
  <si>
    <t>$G$11:$G$17 &lt;= $I$11:$I$17</t>
  </si>
  <si>
    <t>Informe creado: 10/06/2026 05:37:59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</si>
</sst>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##"/>
  </numFmts>
  <fonts count="14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FFFFFF"/>
      <name val="Arial"/>
      <family val="2"/>
    </font>
    <font>
      <sz val="10"/>
      <color rgb="FFC0392B"/>
      <name val="Arial"/>
      <family val="2"/>
    </font>
    <font>
      <sz val="10"/>
      <color rgb="FF7A7066"/>
      <name val="Arial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B2118"/>
        <bgColor rgb="FF333333"/>
      </patternFill>
    </fill>
    <fill>
      <patternFill patternType="solid">
        <fgColor rgb="FFC0392B"/>
        <bgColor rgb="FF993366"/>
      </patternFill>
    </fill>
    <fill>
      <patternFill patternType="solid">
        <fgColor rgb="FFF0EBE4"/>
        <bgColor rgb="FFF7F4F0"/>
      </patternFill>
    </fill>
    <fill>
      <patternFill patternType="solid">
        <fgColor rgb="FFFFFF00"/>
        <bgColor rgb="FFFFFF00"/>
      </patternFill>
    </fill>
    <fill>
      <patternFill patternType="solid">
        <fgColor rgb="FF2E7D32"/>
        <bgColor rgb="FF008000"/>
      </patternFill>
    </fill>
  </fills>
  <borders count="7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2" borderId="0" xfId="0" applyFill="1"/>
    <xf numFmtId="0" fontId="3" fillId="3" borderId="0" xfId="0" applyFont="1" applyFill="1" applyAlignment="1">
      <alignment horizontal="left" vertical="center"/>
    </xf>
    <xf numFmtId="0" fontId="0" fillId="3" borderId="0" xfId="0" applyFill="1"/>
    <xf numFmtId="0" fontId="4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64" fontId="8" fillId="6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5" fontId="6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1" fillId="0" borderId="0" xfId="0" applyFont="1"/>
    <xf numFmtId="0" fontId="13" fillId="0" borderId="0" xfId="0" applyFont="1"/>
    <xf numFmtId="0" fontId="0" fillId="0" borderId="5" xfId="0" applyBorder="1"/>
    <xf numFmtId="0" fontId="0" fillId="0" borderId="6" xfId="0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165" fontId="6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3" fillId="0" borderId="6" xfId="0" applyFont="1" applyBorder="1"/>
    <xf numFmtId="0" fontId="13" fillId="0" borderId="5" xfId="0" applyFont="1" applyBorder="1"/>
    <xf numFmtId="0" fontId="12" fillId="0" borderId="0" xfId="0" applyFont="1"/>
    <xf numFmtId="0" fontId="12" fillId="0" borderId="4" xfId="0" applyFont="1" applyBorder="1" applyAlignment="1">
      <alignment horizontal="center"/>
    </xf>
    <xf numFmtId="164" fontId="13" fillId="0" borderId="5" xfId="0" applyNumberFormat="1" applyFont="1" applyBorder="1"/>
    <xf numFmtId="2" fontId="13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A7066"/>
      <rgbColor rgb="FF9999FF"/>
      <rgbColor rgb="FF993366"/>
      <rgbColor rgb="FFF7F4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0EB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2B2118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75EE8-6AD9-4116-8467-1AC43C15F8A1}">
  <dimension ref="A1:H49"/>
  <sheetViews>
    <sheetView showGridLines="0" tabSelected="1" topLeftCell="A16" zoomScale="97" workbookViewId="0">
      <selection activeCell="G20" sqref="G20"/>
    </sheetView>
  </sheetViews>
  <sheetFormatPr baseColWidth="10" defaultRowHeight="15" outlineLevelRow="1" x14ac:dyDescent="0.25"/>
  <cols>
    <col min="1" max="1" width="2.28515625" customWidth="1"/>
    <col min="2" max="2" width="6.28515625" bestFit="1" customWidth="1"/>
    <col min="3" max="3" width="44.28515625" bestFit="1" customWidth="1"/>
    <col min="4" max="4" width="15.5703125" bestFit="1" customWidth="1"/>
    <col min="5" max="5" width="12.85546875" bestFit="1" customWidth="1"/>
    <col min="6" max="6" width="13.28515625" bestFit="1" customWidth="1"/>
    <col min="7" max="7" width="8" bestFit="1" customWidth="1"/>
  </cols>
  <sheetData>
    <row r="1" spans="1:8" x14ac:dyDescent="0.25">
      <c r="A1" s="22" t="s">
        <v>32</v>
      </c>
    </row>
    <row r="2" spans="1:8" x14ac:dyDescent="0.25">
      <c r="A2" s="22" t="s">
        <v>98</v>
      </c>
    </row>
    <row r="3" spans="1:8" x14ac:dyDescent="0.25">
      <c r="A3" s="22" t="s">
        <v>104</v>
      </c>
    </row>
    <row r="4" spans="1:8" x14ac:dyDescent="0.25">
      <c r="A4" s="22" t="s">
        <v>33</v>
      </c>
    </row>
    <row r="5" spans="1:8" x14ac:dyDescent="0.25">
      <c r="A5" s="22" t="s">
        <v>34</v>
      </c>
    </row>
    <row r="6" spans="1:8" hidden="1" outlineLevel="1" x14ac:dyDescent="0.25">
      <c r="A6" s="35"/>
      <c r="B6" s="23" t="s">
        <v>35</v>
      </c>
      <c r="C6" s="23"/>
      <c r="D6" s="23"/>
      <c r="E6" s="23"/>
      <c r="F6" s="23"/>
      <c r="G6" s="23"/>
      <c r="H6" s="23"/>
    </row>
    <row r="7" spans="1:8" hidden="1" outlineLevel="1" x14ac:dyDescent="0.25">
      <c r="A7" s="35"/>
      <c r="B7" s="23" t="s">
        <v>99</v>
      </c>
      <c r="C7" s="23"/>
      <c r="D7" s="23"/>
      <c r="E7" s="23"/>
      <c r="F7" s="23"/>
      <c r="G7" s="23"/>
      <c r="H7" s="23"/>
    </row>
    <row r="8" spans="1:8" hidden="1" outlineLevel="1" x14ac:dyDescent="0.25">
      <c r="A8" s="35"/>
      <c r="B8" s="23" t="s">
        <v>100</v>
      </c>
      <c r="C8" s="23"/>
      <c r="D8" s="23"/>
      <c r="E8" s="23"/>
      <c r="F8" s="23"/>
      <c r="G8" s="23"/>
      <c r="H8" s="23"/>
    </row>
    <row r="9" spans="1:8" collapsed="1" x14ac:dyDescent="0.25">
      <c r="A9" s="35" t="s">
        <v>36</v>
      </c>
      <c r="B9" s="23"/>
      <c r="C9" s="23"/>
      <c r="D9" s="23"/>
      <c r="E9" s="23"/>
      <c r="F9" s="23"/>
      <c r="G9" s="23"/>
      <c r="H9" s="23"/>
    </row>
    <row r="10" spans="1:8" hidden="1" outlineLevel="1" x14ac:dyDescent="0.25">
      <c r="A10" s="23"/>
      <c r="B10" s="23" t="s">
        <v>37</v>
      </c>
      <c r="C10" s="23"/>
      <c r="D10" s="23"/>
      <c r="E10" s="23"/>
      <c r="F10" s="23"/>
      <c r="G10" s="23"/>
      <c r="H10" s="23"/>
    </row>
    <row r="11" spans="1:8" hidden="1" outlineLevel="1" x14ac:dyDescent="0.25">
      <c r="A11" s="23"/>
      <c r="B11" s="23" t="s">
        <v>38</v>
      </c>
      <c r="C11" s="23"/>
      <c r="D11" s="23"/>
      <c r="E11" s="23"/>
      <c r="F11" s="23"/>
      <c r="G11" s="23"/>
      <c r="H11" s="23"/>
    </row>
    <row r="12" spans="1:8" collapsed="1" x14ac:dyDescent="0.25">
      <c r="A12" s="23"/>
      <c r="B12" s="23"/>
      <c r="C12" s="23"/>
      <c r="D12" s="23"/>
      <c r="E12" s="23"/>
      <c r="F12" s="23"/>
      <c r="G12" s="23"/>
      <c r="H12" s="23"/>
    </row>
    <row r="13" spans="1:8" x14ac:dyDescent="0.25">
      <c r="A13" s="23"/>
      <c r="B13" s="23"/>
      <c r="C13" s="23"/>
      <c r="D13" s="23"/>
      <c r="E13" s="23"/>
      <c r="F13" s="23"/>
      <c r="G13" s="23"/>
      <c r="H13" s="23"/>
    </row>
    <row r="14" spans="1:8" ht="15.75" thickBot="1" x14ac:dyDescent="0.3">
      <c r="A14" s="23" t="s">
        <v>39</v>
      </c>
      <c r="B14" s="23"/>
      <c r="C14" s="23"/>
      <c r="D14" s="23"/>
      <c r="E14" s="23"/>
      <c r="F14" s="23"/>
      <c r="G14" s="23"/>
      <c r="H14" s="23"/>
    </row>
    <row r="15" spans="1:8" ht="15.75" thickBot="1" x14ac:dyDescent="0.3">
      <c r="A15" s="23"/>
      <c r="B15" s="36" t="s">
        <v>40</v>
      </c>
      <c r="C15" s="36" t="s">
        <v>41</v>
      </c>
      <c r="D15" s="36" t="s">
        <v>42</v>
      </c>
      <c r="E15" s="36" t="s">
        <v>43</v>
      </c>
      <c r="F15" s="23"/>
      <c r="G15" s="23"/>
      <c r="H15" s="23"/>
    </row>
    <row r="16" spans="1:8" ht="15.75" thickBot="1" x14ac:dyDescent="0.3">
      <c r="A16" s="23"/>
      <c r="B16" s="34" t="s">
        <v>50</v>
      </c>
      <c r="C16" s="34" t="s">
        <v>51</v>
      </c>
      <c r="D16" s="37">
        <v>268</v>
      </c>
      <c r="E16" s="37">
        <v>268</v>
      </c>
      <c r="F16" s="23"/>
      <c r="G16" s="23"/>
      <c r="H16" s="23"/>
    </row>
    <row r="17" spans="1:8" x14ac:dyDescent="0.25">
      <c r="A17" s="23"/>
      <c r="B17" s="23"/>
      <c r="C17" s="23"/>
      <c r="D17" s="23"/>
      <c r="E17" s="23"/>
      <c r="F17" s="23"/>
      <c r="G17" s="23"/>
      <c r="H17" s="23"/>
    </row>
    <row r="18" spans="1:8" x14ac:dyDescent="0.25">
      <c r="A18" s="23"/>
      <c r="B18" s="23"/>
      <c r="C18" s="23"/>
      <c r="D18" s="23"/>
      <c r="E18" s="23"/>
      <c r="F18" s="23"/>
      <c r="G18" s="23"/>
      <c r="H18" s="23"/>
    </row>
    <row r="19" spans="1:8" ht="15.75" thickBot="1" x14ac:dyDescent="0.3">
      <c r="A19" s="23" t="s">
        <v>44</v>
      </c>
      <c r="B19" s="23"/>
      <c r="C19" s="23"/>
      <c r="D19" s="23"/>
      <c r="E19" s="23"/>
      <c r="F19" s="23"/>
      <c r="G19" s="23"/>
      <c r="H19" s="23"/>
    </row>
    <row r="20" spans="1:8" ht="15.75" thickBot="1" x14ac:dyDescent="0.3">
      <c r="A20" s="23"/>
      <c r="B20" s="36" t="s">
        <v>40</v>
      </c>
      <c r="C20" s="36" t="s">
        <v>41</v>
      </c>
      <c r="D20" s="36" t="s">
        <v>42</v>
      </c>
      <c r="E20" s="36" t="s">
        <v>43</v>
      </c>
      <c r="F20" s="36" t="s">
        <v>45</v>
      </c>
      <c r="G20" s="23"/>
      <c r="H20" s="23"/>
    </row>
    <row r="21" spans="1:8" x14ac:dyDescent="0.25">
      <c r="A21" s="23"/>
      <c r="B21" s="27" t="s">
        <v>78</v>
      </c>
      <c r="C21" s="26"/>
      <c r="D21" s="26"/>
      <c r="E21" s="26"/>
      <c r="F21" s="26"/>
      <c r="G21" s="23"/>
      <c r="H21" s="23"/>
    </row>
    <row r="22" spans="1:8" outlineLevel="1" x14ac:dyDescent="0.25">
      <c r="A22" s="23"/>
      <c r="B22" s="33" t="s">
        <v>52</v>
      </c>
      <c r="C22" s="33" t="s">
        <v>53</v>
      </c>
      <c r="D22" s="33">
        <v>10</v>
      </c>
      <c r="E22" s="33">
        <v>10</v>
      </c>
      <c r="F22" s="33" t="s">
        <v>54</v>
      </c>
      <c r="G22" s="23"/>
      <c r="H22" s="23"/>
    </row>
    <row r="23" spans="1:8" outlineLevel="1" x14ac:dyDescent="0.25">
      <c r="A23" s="23"/>
      <c r="B23" s="33" t="s">
        <v>55</v>
      </c>
      <c r="C23" s="33" t="s">
        <v>56</v>
      </c>
      <c r="D23" s="33">
        <v>45</v>
      </c>
      <c r="E23" s="33">
        <v>45</v>
      </c>
      <c r="F23" s="33" t="s">
        <v>54</v>
      </c>
      <c r="G23" s="23"/>
      <c r="H23" s="23"/>
    </row>
    <row r="24" spans="1:8" outlineLevel="1" x14ac:dyDescent="0.25">
      <c r="A24" s="23"/>
      <c r="B24" s="33" t="s">
        <v>57</v>
      </c>
      <c r="C24" s="33" t="s">
        <v>58</v>
      </c>
      <c r="D24" s="33">
        <v>10</v>
      </c>
      <c r="E24" s="33">
        <v>10</v>
      </c>
      <c r="F24" s="33" t="s">
        <v>54</v>
      </c>
      <c r="G24" s="23"/>
      <c r="H24" s="23"/>
    </row>
    <row r="25" spans="1:8" ht="15.75" outlineLevel="1" thickBot="1" x14ac:dyDescent="0.3">
      <c r="A25" s="23"/>
      <c r="B25" s="34" t="s">
        <v>59</v>
      </c>
      <c r="C25" s="34" t="s">
        <v>60</v>
      </c>
      <c r="D25" s="34">
        <v>50</v>
      </c>
      <c r="E25" s="34">
        <v>50</v>
      </c>
      <c r="F25" s="34" t="s">
        <v>54</v>
      </c>
      <c r="G25" s="23"/>
      <c r="H25" s="23"/>
    </row>
    <row r="26" spans="1:8" x14ac:dyDescent="0.25">
      <c r="A26" s="23"/>
      <c r="B26" s="23"/>
      <c r="C26" s="23"/>
      <c r="D26" s="23"/>
      <c r="E26" s="23"/>
      <c r="F26" s="23"/>
      <c r="G26" s="23"/>
      <c r="H26" s="23"/>
    </row>
    <row r="27" spans="1:8" x14ac:dyDescent="0.25">
      <c r="A27" s="23"/>
      <c r="B27" s="23"/>
      <c r="C27" s="23"/>
      <c r="D27" s="23"/>
      <c r="E27" s="23"/>
      <c r="F27" s="23"/>
      <c r="G27" s="23"/>
      <c r="H27" s="23"/>
    </row>
    <row r="28" spans="1:8" x14ac:dyDescent="0.25">
      <c r="A28" s="23"/>
      <c r="B28" s="23"/>
      <c r="C28" s="23"/>
      <c r="D28" s="23"/>
      <c r="E28" s="23"/>
      <c r="F28" s="23"/>
      <c r="G28" s="23"/>
      <c r="H28" s="23"/>
    </row>
    <row r="29" spans="1:8" ht="15.75" thickBot="1" x14ac:dyDescent="0.3">
      <c r="A29" s="23" t="s">
        <v>46</v>
      </c>
      <c r="B29" s="23"/>
      <c r="C29" s="23"/>
      <c r="D29" s="23"/>
      <c r="E29" s="23"/>
      <c r="F29" s="23"/>
      <c r="G29" s="23"/>
      <c r="H29" s="23"/>
    </row>
    <row r="30" spans="1:8" ht="15.75" thickBot="1" x14ac:dyDescent="0.3">
      <c r="A30" s="23"/>
      <c r="B30" s="36" t="s">
        <v>40</v>
      </c>
      <c r="C30" s="36" t="s">
        <v>41</v>
      </c>
      <c r="D30" s="36" t="s">
        <v>47</v>
      </c>
      <c r="E30" s="36" t="s">
        <v>48</v>
      </c>
      <c r="F30" s="36" t="s">
        <v>17</v>
      </c>
      <c r="G30" s="36" t="s">
        <v>49</v>
      </c>
      <c r="H30" s="23"/>
    </row>
    <row r="31" spans="1:8" x14ac:dyDescent="0.25">
      <c r="A31" s="23"/>
      <c r="B31" s="27" t="s">
        <v>115</v>
      </c>
      <c r="C31" s="26"/>
      <c r="D31" s="26"/>
      <c r="E31" s="26"/>
      <c r="F31" s="26"/>
      <c r="G31" s="26"/>
      <c r="H31" s="23"/>
    </row>
    <row r="32" spans="1:8" outlineLevel="1" x14ac:dyDescent="0.25">
      <c r="A32" s="23"/>
      <c r="B32" s="33" t="s">
        <v>61</v>
      </c>
      <c r="C32" s="33" t="s">
        <v>62</v>
      </c>
      <c r="D32" s="38">
        <v>105</v>
      </c>
      <c r="E32" s="33" t="s">
        <v>63</v>
      </c>
      <c r="F32" s="33" t="s">
        <v>64</v>
      </c>
      <c r="G32" s="33">
        <v>5</v>
      </c>
      <c r="H32" s="23"/>
    </row>
    <row r="33" spans="1:8" outlineLevel="1" x14ac:dyDescent="0.25">
      <c r="A33" s="23"/>
      <c r="B33" s="33" t="s">
        <v>65</v>
      </c>
      <c r="C33" s="33" t="s">
        <v>66</v>
      </c>
      <c r="D33" s="38">
        <v>60</v>
      </c>
      <c r="E33" s="33" t="s">
        <v>67</v>
      </c>
      <c r="F33" s="33" t="s">
        <v>68</v>
      </c>
      <c r="G33" s="33">
        <v>0</v>
      </c>
      <c r="H33" s="23"/>
    </row>
    <row r="34" spans="1:8" outlineLevel="1" x14ac:dyDescent="0.25">
      <c r="A34" s="23"/>
      <c r="B34" s="33" t="s">
        <v>69</v>
      </c>
      <c r="C34" s="33" t="s">
        <v>101</v>
      </c>
      <c r="D34" s="38">
        <v>0</v>
      </c>
      <c r="E34" s="33" t="s">
        <v>71</v>
      </c>
      <c r="F34" s="33" t="s">
        <v>68</v>
      </c>
      <c r="G34" s="33">
        <v>0</v>
      </c>
      <c r="H34" s="23"/>
    </row>
    <row r="35" spans="1:8" outlineLevel="1" x14ac:dyDescent="0.25">
      <c r="A35" s="23"/>
      <c r="B35" s="33" t="s">
        <v>72</v>
      </c>
      <c r="C35" s="33" t="s">
        <v>101</v>
      </c>
      <c r="D35" s="38">
        <v>0</v>
      </c>
      <c r="E35" s="33" t="s">
        <v>74</v>
      </c>
      <c r="F35" s="33" t="s">
        <v>68</v>
      </c>
      <c r="G35" s="33">
        <v>0</v>
      </c>
      <c r="H35" s="23"/>
    </row>
    <row r="36" spans="1:8" outlineLevel="1" x14ac:dyDescent="0.25">
      <c r="A36" s="23"/>
      <c r="B36" s="33" t="s">
        <v>75</v>
      </c>
      <c r="C36" s="33" t="s">
        <v>70</v>
      </c>
      <c r="D36" s="38">
        <v>16.25</v>
      </c>
      <c r="E36" s="33" t="s">
        <v>77</v>
      </c>
      <c r="F36" s="33" t="s">
        <v>64</v>
      </c>
      <c r="G36" s="33">
        <v>3.75</v>
      </c>
      <c r="H36" s="23"/>
    </row>
    <row r="37" spans="1:8" outlineLevel="1" x14ac:dyDescent="0.25">
      <c r="A37" s="23"/>
      <c r="B37" s="33" t="s">
        <v>102</v>
      </c>
      <c r="C37" s="33" t="s">
        <v>73</v>
      </c>
      <c r="D37" s="38">
        <v>27.75</v>
      </c>
      <c r="E37" s="33" t="s">
        <v>103</v>
      </c>
      <c r="F37" s="33" t="s">
        <v>64</v>
      </c>
      <c r="G37" s="33">
        <v>0.25</v>
      </c>
      <c r="H37" s="23"/>
    </row>
    <row r="38" spans="1:8" outlineLevel="1" x14ac:dyDescent="0.25">
      <c r="A38" s="23"/>
      <c r="B38" s="33" t="s">
        <v>105</v>
      </c>
      <c r="C38" s="33" t="s">
        <v>76</v>
      </c>
      <c r="D38" s="38">
        <v>680</v>
      </c>
      <c r="E38" s="33" t="s">
        <v>106</v>
      </c>
      <c r="F38" s="33" t="s">
        <v>64</v>
      </c>
      <c r="G38" s="33">
        <v>120</v>
      </c>
      <c r="H38" s="23"/>
    </row>
    <row r="39" spans="1:8" x14ac:dyDescent="0.25">
      <c r="A39" s="23"/>
      <c r="B39" s="33"/>
      <c r="C39" s="33"/>
      <c r="D39" s="38"/>
      <c r="E39" s="33"/>
      <c r="F39" s="33"/>
      <c r="G39" s="33"/>
      <c r="H39" s="23"/>
    </row>
    <row r="40" spans="1:8" x14ac:dyDescent="0.25">
      <c r="A40" s="23"/>
      <c r="B40" s="33" t="s">
        <v>52</v>
      </c>
      <c r="C40" s="33" t="s">
        <v>53</v>
      </c>
      <c r="D40" s="33">
        <v>10</v>
      </c>
      <c r="E40" s="33" t="s">
        <v>107</v>
      </c>
      <c r="F40" s="33" t="s">
        <v>64</v>
      </c>
      <c r="G40" s="33">
        <v>15</v>
      </c>
      <c r="H40" s="23"/>
    </row>
    <row r="41" spans="1:8" x14ac:dyDescent="0.25">
      <c r="A41" s="23"/>
      <c r="B41" s="33" t="s">
        <v>52</v>
      </c>
      <c r="C41" s="33" t="s">
        <v>53</v>
      </c>
      <c r="D41" s="33">
        <v>10</v>
      </c>
      <c r="E41" s="33" t="s">
        <v>108</v>
      </c>
      <c r="F41" s="33" t="s">
        <v>68</v>
      </c>
      <c r="G41" s="33">
        <v>0</v>
      </c>
      <c r="H41" s="23"/>
    </row>
    <row r="42" spans="1:8" x14ac:dyDescent="0.25">
      <c r="A42" s="23"/>
      <c r="B42" s="33" t="s">
        <v>55</v>
      </c>
      <c r="C42" s="33" t="s">
        <v>56</v>
      </c>
      <c r="D42" s="33">
        <v>45</v>
      </c>
      <c r="E42" s="33" t="s">
        <v>109</v>
      </c>
      <c r="F42" s="33" t="s">
        <v>68</v>
      </c>
      <c r="G42" s="33">
        <v>0</v>
      </c>
      <c r="H42" s="23"/>
    </row>
    <row r="43" spans="1:8" x14ac:dyDescent="0.25">
      <c r="A43" s="23"/>
      <c r="B43" s="33" t="s">
        <v>55</v>
      </c>
      <c r="C43" s="33" t="s">
        <v>56</v>
      </c>
      <c r="D43" s="33">
        <v>45</v>
      </c>
      <c r="E43" s="33" t="s">
        <v>110</v>
      </c>
      <c r="F43" s="33" t="s">
        <v>64</v>
      </c>
      <c r="G43" s="33">
        <v>25</v>
      </c>
      <c r="H43" s="23"/>
    </row>
    <row r="44" spans="1:8" x14ac:dyDescent="0.25">
      <c r="A44" s="23"/>
      <c r="B44" s="33" t="s">
        <v>57</v>
      </c>
      <c r="C44" s="33" t="s">
        <v>58</v>
      </c>
      <c r="D44" s="33">
        <v>10</v>
      </c>
      <c r="E44" s="33" t="s">
        <v>111</v>
      </c>
      <c r="F44" s="33" t="s">
        <v>64</v>
      </c>
      <c r="G44" s="33">
        <v>10</v>
      </c>
      <c r="H44" s="23"/>
    </row>
    <row r="45" spans="1:8" x14ac:dyDescent="0.25">
      <c r="A45" s="23"/>
      <c r="B45" s="33" t="s">
        <v>57</v>
      </c>
      <c r="C45" s="33" t="s">
        <v>58</v>
      </c>
      <c r="D45" s="33">
        <v>10</v>
      </c>
      <c r="E45" s="33" t="s">
        <v>112</v>
      </c>
      <c r="F45" s="33" t="s">
        <v>64</v>
      </c>
      <c r="G45" s="33">
        <v>5</v>
      </c>
      <c r="H45" s="23"/>
    </row>
    <row r="46" spans="1:8" x14ac:dyDescent="0.25">
      <c r="A46" s="23"/>
      <c r="B46" s="33" t="s">
        <v>59</v>
      </c>
      <c r="C46" s="33" t="s">
        <v>60</v>
      </c>
      <c r="D46" s="33">
        <v>50</v>
      </c>
      <c r="E46" s="33" t="s">
        <v>113</v>
      </c>
      <c r="F46" s="33" t="s">
        <v>68</v>
      </c>
      <c r="G46" s="33">
        <v>0</v>
      </c>
      <c r="H46" s="23"/>
    </row>
    <row r="47" spans="1:8" ht="15.75" thickBot="1" x14ac:dyDescent="0.3">
      <c r="A47" s="23"/>
      <c r="B47" s="34" t="s">
        <v>59</v>
      </c>
      <c r="C47" s="34" t="s">
        <v>60</v>
      </c>
      <c r="D47" s="34">
        <v>50</v>
      </c>
      <c r="E47" s="34" t="s">
        <v>114</v>
      </c>
      <c r="F47" s="34" t="s">
        <v>64</v>
      </c>
      <c r="G47" s="34">
        <v>30</v>
      </c>
      <c r="H47" s="23"/>
    </row>
    <row r="48" spans="1:8" x14ac:dyDescent="0.25">
      <c r="A48" s="23"/>
      <c r="B48" s="23"/>
      <c r="C48" s="23"/>
      <c r="D48" s="23"/>
      <c r="E48" s="23"/>
      <c r="F48" s="23"/>
      <c r="G48" s="23"/>
      <c r="H48" s="23"/>
    </row>
    <row r="49" spans="1:8" x14ac:dyDescent="0.25">
      <c r="A49" s="23"/>
      <c r="B49" s="23"/>
      <c r="C49" s="23"/>
      <c r="D49" s="23"/>
      <c r="E49" s="23"/>
      <c r="F49" s="23"/>
      <c r="G49" s="23"/>
      <c r="H49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DB9B9-1DAD-49A2-868C-A15AB37256AA}">
  <dimension ref="A1:J26"/>
  <sheetViews>
    <sheetView showGridLines="0" workbookViewId="0">
      <selection activeCell="E29" sqref="E29"/>
    </sheetView>
  </sheetViews>
  <sheetFormatPr baseColWidth="10" defaultRowHeight="15" outlineLevelRow="1" x14ac:dyDescent="0.25"/>
  <cols>
    <col min="1" max="1" width="2.28515625" customWidth="1"/>
    <col min="2" max="2" width="6.28515625" bestFit="1" customWidth="1"/>
    <col min="3" max="3" width="44.140625" bestFit="1" customWidth="1"/>
    <col min="4" max="4" width="6" bestFit="1" customWidth="1"/>
    <col min="5" max="5" width="9.28515625" bestFit="1" customWidth="1"/>
    <col min="6" max="6" width="12.85546875" bestFit="1" customWidth="1"/>
    <col min="7" max="7" width="10.5703125" bestFit="1" customWidth="1"/>
    <col min="8" max="8" width="12" bestFit="1" customWidth="1"/>
  </cols>
  <sheetData>
    <row r="1" spans="1:10" x14ac:dyDescent="0.25">
      <c r="A1" s="22" t="s">
        <v>79</v>
      </c>
    </row>
    <row r="2" spans="1:10" x14ac:dyDescent="0.25">
      <c r="A2" s="22" t="s">
        <v>98</v>
      </c>
    </row>
    <row r="3" spans="1:10" x14ac:dyDescent="0.25">
      <c r="A3" s="22" t="s">
        <v>116</v>
      </c>
    </row>
    <row r="5" spans="1:10" x14ac:dyDescent="0.25">
      <c r="B5" s="23"/>
      <c r="C5" s="23"/>
      <c r="D5" s="23"/>
      <c r="E5" s="23"/>
      <c r="F5" s="23"/>
      <c r="G5" s="23"/>
      <c r="H5" s="23"/>
      <c r="I5" s="23"/>
      <c r="J5" s="23"/>
    </row>
    <row r="6" spans="1:10" ht="15.75" thickBot="1" x14ac:dyDescent="0.3">
      <c r="A6" t="s">
        <v>44</v>
      </c>
      <c r="B6" s="23"/>
      <c r="C6" s="23"/>
      <c r="D6" s="23"/>
      <c r="E6" s="23"/>
      <c r="F6" s="23"/>
      <c r="G6" s="23"/>
      <c r="H6" s="23"/>
      <c r="I6" s="23"/>
      <c r="J6" s="23"/>
    </row>
    <row r="7" spans="1:10" x14ac:dyDescent="0.25">
      <c r="B7" s="31"/>
      <c r="C7" s="31"/>
      <c r="D7" s="31" t="s">
        <v>80</v>
      </c>
      <c r="E7" s="31" t="s">
        <v>82</v>
      </c>
      <c r="F7" s="31" t="s">
        <v>84</v>
      </c>
      <c r="G7" s="31" t="s">
        <v>86</v>
      </c>
      <c r="H7" s="31" t="s">
        <v>86</v>
      </c>
      <c r="I7" s="23"/>
      <c r="J7" s="23"/>
    </row>
    <row r="8" spans="1:10" ht="15.75" thickBot="1" x14ac:dyDescent="0.3">
      <c r="B8" s="32" t="s">
        <v>40</v>
      </c>
      <c r="C8" s="32" t="s">
        <v>41</v>
      </c>
      <c r="D8" s="32" t="s">
        <v>81</v>
      </c>
      <c r="E8" s="32" t="s">
        <v>83</v>
      </c>
      <c r="F8" s="32" t="s">
        <v>85</v>
      </c>
      <c r="G8" s="32" t="s">
        <v>87</v>
      </c>
      <c r="H8" s="32" t="s">
        <v>88</v>
      </c>
      <c r="I8" s="23"/>
      <c r="J8" s="23"/>
    </row>
    <row r="9" spans="1:10" x14ac:dyDescent="0.25">
      <c r="B9" s="27" t="s">
        <v>78</v>
      </c>
      <c r="C9" s="26"/>
      <c r="D9" s="26"/>
      <c r="E9" s="26"/>
      <c r="F9" s="26"/>
      <c r="G9" s="26"/>
      <c r="H9" s="26"/>
      <c r="I9" s="23"/>
      <c r="J9" s="23"/>
    </row>
    <row r="10" spans="1:10" outlineLevel="1" x14ac:dyDescent="0.25">
      <c r="B10" s="33" t="s">
        <v>52</v>
      </c>
      <c r="C10" s="33" t="s">
        <v>53</v>
      </c>
      <c r="D10" s="33">
        <v>10</v>
      </c>
      <c r="E10" s="33">
        <v>-0.25000000000000044</v>
      </c>
      <c r="F10" s="33">
        <v>5</v>
      </c>
      <c r="G10" s="33">
        <v>0.25000000000000044</v>
      </c>
      <c r="H10" s="33">
        <v>1E+30</v>
      </c>
      <c r="I10" s="23"/>
      <c r="J10" s="23"/>
    </row>
    <row r="11" spans="1:10" outlineLevel="1" x14ac:dyDescent="0.25">
      <c r="B11" s="33" t="s">
        <v>55</v>
      </c>
      <c r="C11" s="33" t="s">
        <v>56</v>
      </c>
      <c r="D11" s="33">
        <v>45</v>
      </c>
      <c r="E11" s="33">
        <v>0.65000000000000036</v>
      </c>
      <c r="F11" s="33">
        <v>2.4000000000000004</v>
      </c>
      <c r="G11" s="33">
        <v>1E+30</v>
      </c>
      <c r="H11" s="33">
        <v>0.65000000000000036</v>
      </c>
      <c r="I11" s="23"/>
      <c r="J11" s="23"/>
    </row>
    <row r="12" spans="1:10" outlineLevel="1" x14ac:dyDescent="0.25">
      <c r="B12" s="33" t="s">
        <v>57</v>
      </c>
      <c r="C12" s="33" t="s">
        <v>58</v>
      </c>
      <c r="D12" s="33">
        <v>10</v>
      </c>
      <c r="E12" s="33">
        <v>0</v>
      </c>
      <c r="F12" s="33">
        <v>3.5</v>
      </c>
      <c r="G12" s="33">
        <v>1.3000000000000007</v>
      </c>
      <c r="H12" s="33">
        <v>0.16666666666666696</v>
      </c>
      <c r="I12" s="23"/>
      <c r="J12" s="23"/>
    </row>
    <row r="13" spans="1:10" ht="15.75" outlineLevel="1" thickBot="1" x14ac:dyDescent="0.3">
      <c r="B13" s="34" t="s">
        <v>59</v>
      </c>
      <c r="C13" s="34" t="s">
        <v>60</v>
      </c>
      <c r="D13" s="34">
        <v>50</v>
      </c>
      <c r="E13" s="34">
        <v>0.625</v>
      </c>
      <c r="F13" s="34">
        <v>1.5</v>
      </c>
      <c r="G13" s="34">
        <v>1E+30</v>
      </c>
      <c r="H13" s="34">
        <v>0.625</v>
      </c>
      <c r="I13" s="23"/>
      <c r="J13" s="23"/>
    </row>
    <row r="14" spans="1:10" x14ac:dyDescent="0.25">
      <c r="B14" s="23"/>
      <c r="C14" s="23"/>
      <c r="D14" s="23"/>
      <c r="E14" s="23"/>
      <c r="F14" s="23"/>
      <c r="G14" s="23"/>
      <c r="H14" s="23"/>
      <c r="I14" s="23"/>
      <c r="J14" s="23"/>
    </row>
    <row r="15" spans="1:10" x14ac:dyDescent="0.25">
      <c r="B15" s="23"/>
      <c r="C15" s="23"/>
      <c r="D15" s="23"/>
      <c r="E15" s="23"/>
      <c r="F15" s="23"/>
      <c r="G15" s="23"/>
      <c r="H15" s="23"/>
      <c r="I15" s="23"/>
      <c r="J15" s="23"/>
    </row>
    <row r="16" spans="1:10" ht="15.75" thickBot="1" x14ac:dyDescent="0.3">
      <c r="A16" t="s">
        <v>46</v>
      </c>
      <c r="B16" s="23"/>
      <c r="C16" s="23"/>
      <c r="D16" s="23"/>
      <c r="E16" s="23"/>
      <c r="F16" s="23"/>
      <c r="G16" s="23"/>
      <c r="H16" s="23"/>
      <c r="I16" s="23"/>
      <c r="J16" s="23"/>
    </row>
    <row r="17" spans="2:10" x14ac:dyDescent="0.25">
      <c r="B17" s="31"/>
      <c r="C17" s="31"/>
      <c r="D17" s="31" t="s">
        <v>80</v>
      </c>
      <c r="E17" s="31" t="s">
        <v>89</v>
      </c>
      <c r="F17" s="31" t="s">
        <v>91</v>
      </c>
      <c r="G17" s="31" t="s">
        <v>86</v>
      </c>
      <c r="H17" s="31" t="s">
        <v>86</v>
      </c>
      <c r="I17" s="23"/>
      <c r="J17" s="23"/>
    </row>
    <row r="18" spans="2:10" ht="15.75" thickBot="1" x14ac:dyDescent="0.3">
      <c r="B18" s="32" t="s">
        <v>40</v>
      </c>
      <c r="C18" s="32" t="s">
        <v>41</v>
      </c>
      <c r="D18" s="32" t="s">
        <v>81</v>
      </c>
      <c r="E18" s="32" t="s">
        <v>90</v>
      </c>
      <c r="F18" s="32" t="s">
        <v>92</v>
      </c>
      <c r="G18" s="32" t="s">
        <v>87</v>
      </c>
      <c r="H18" s="32" t="s">
        <v>88</v>
      </c>
      <c r="I18" s="23"/>
      <c r="J18" s="23"/>
    </row>
    <row r="19" spans="2:10" x14ac:dyDescent="0.25">
      <c r="B19" s="27" t="s">
        <v>115</v>
      </c>
      <c r="C19" s="26"/>
      <c r="D19" s="26"/>
      <c r="E19" s="26"/>
      <c r="F19" s="26"/>
      <c r="G19" s="26"/>
      <c r="H19" s="26"/>
      <c r="I19" s="23"/>
      <c r="J19" s="23"/>
    </row>
    <row r="20" spans="2:10" outlineLevel="1" x14ac:dyDescent="0.25">
      <c r="B20" s="33" t="s">
        <v>61</v>
      </c>
      <c r="C20" s="33" t="s">
        <v>62</v>
      </c>
      <c r="D20" s="33">
        <v>105</v>
      </c>
      <c r="E20" s="33">
        <v>0</v>
      </c>
      <c r="F20" s="33">
        <v>110</v>
      </c>
      <c r="G20" s="33">
        <v>1E+30</v>
      </c>
      <c r="H20" s="33">
        <v>5.0000000000000018</v>
      </c>
      <c r="I20" s="23"/>
      <c r="J20" s="23"/>
    </row>
    <row r="21" spans="2:10" outlineLevel="1" x14ac:dyDescent="0.25">
      <c r="B21" s="33" t="s">
        <v>65</v>
      </c>
      <c r="C21" s="33" t="s">
        <v>66</v>
      </c>
      <c r="D21" s="33">
        <v>60</v>
      </c>
      <c r="E21" s="33">
        <v>3.5</v>
      </c>
      <c r="F21" s="33">
        <v>60</v>
      </c>
      <c r="G21" s="33">
        <v>0.62500000000001454</v>
      </c>
      <c r="H21" s="33">
        <v>5</v>
      </c>
      <c r="I21" s="23"/>
      <c r="J21" s="23"/>
    </row>
    <row r="22" spans="2:10" outlineLevel="1" x14ac:dyDescent="0.25">
      <c r="B22" s="33" t="s">
        <v>69</v>
      </c>
      <c r="C22" s="33" t="s">
        <v>101</v>
      </c>
      <c r="D22" s="33">
        <v>0</v>
      </c>
      <c r="E22" s="33">
        <v>0</v>
      </c>
      <c r="F22" s="33">
        <v>0</v>
      </c>
      <c r="G22" s="33">
        <v>1E+30</v>
      </c>
      <c r="H22" s="33">
        <v>0</v>
      </c>
      <c r="I22" s="23"/>
      <c r="J22" s="23"/>
    </row>
    <row r="23" spans="2:10" outlineLevel="1" x14ac:dyDescent="0.25">
      <c r="B23" s="25" t="s">
        <v>72</v>
      </c>
      <c r="C23" s="25" t="s">
        <v>101</v>
      </c>
      <c r="D23" s="25">
        <v>0</v>
      </c>
      <c r="E23" s="25">
        <v>0</v>
      </c>
      <c r="F23" s="25">
        <v>0</v>
      </c>
      <c r="G23" s="25">
        <v>1E+30</v>
      </c>
      <c r="H23" s="25">
        <v>0</v>
      </c>
    </row>
    <row r="24" spans="2:10" outlineLevel="1" x14ac:dyDescent="0.25">
      <c r="B24" s="25" t="s">
        <v>75</v>
      </c>
      <c r="C24" s="25" t="s">
        <v>70</v>
      </c>
      <c r="D24" s="25">
        <v>16.25</v>
      </c>
      <c r="E24" s="25">
        <v>0</v>
      </c>
      <c r="F24" s="25">
        <v>20</v>
      </c>
      <c r="G24" s="25">
        <v>1E+30</v>
      </c>
      <c r="H24" s="25">
        <v>3.7499999999999982</v>
      </c>
    </row>
    <row r="25" spans="2:10" outlineLevel="1" x14ac:dyDescent="0.25">
      <c r="B25" s="25" t="s">
        <v>102</v>
      </c>
      <c r="C25" s="25" t="s">
        <v>73</v>
      </c>
      <c r="D25" s="25">
        <v>27.75</v>
      </c>
      <c r="E25" s="25">
        <v>0</v>
      </c>
      <c r="F25" s="25">
        <v>28</v>
      </c>
      <c r="G25" s="25">
        <v>1E+30</v>
      </c>
      <c r="H25" s="25">
        <v>0.25000000000000577</v>
      </c>
    </row>
    <row r="26" spans="2:10" ht="15.75" outlineLevel="1" thickBot="1" x14ac:dyDescent="0.3">
      <c r="B26" s="24" t="s">
        <v>105</v>
      </c>
      <c r="C26" s="24" t="s">
        <v>76</v>
      </c>
      <c r="D26" s="24">
        <v>680</v>
      </c>
      <c r="E26" s="24">
        <v>0</v>
      </c>
      <c r="F26" s="24">
        <v>800</v>
      </c>
      <c r="G26" s="24">
        <v>1E+30</v>
      </c>
      <c r="H26" s="24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F17F9-528F-4F20-8952-2283E6C5C5CE}">
  <dimension ref="A1:L24"/>
  <sheetViews>
    <sheetView showGridLines="0" workbookViewId="0">
      <selection activeCell="K20" sqref="K20"/>
    </sheetView>
  </sheetViews>
  <sheetFormatPr baseColWidth="10" defaultRowHeight="15" x14ac:dyDescent="0.25"/>
  <cols>
    <col min="1" max="1" width="2.28515625" customWidth="1"/>
    <col min="2" max="2" width="6" bestFit="1" customWidth="1"/>
    <col min="3" max="3" width="44.28515625" bestFit="1" customWidth="1"/>
    <col min="4" max="4" width="7.570312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2" x14ac:dyDescent="0.25">
      <c r="A1" s="35" t="s">
        <v>93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x14ac:dyDescent="0.25">
      <c r="A2" s="35" t="s">
        <v>98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x14ac:dyDescent="0.25">
      <c r="A3" s="35" t="s">
        <v>116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2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</row>
    <row r="5" spans="1:12" ht="15.75" thickBot="1" x14ac:dyDescent="0.3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</row>
    <row r="6" spans="1:12" x14ac:dyDescent="0.25">
      <c r="A6" s="23"/>
      <c r="B6" s="31"/>
      <c r="C6" s="31" t="s">
        <v>84</v>
      </c>
      <c r="D6" s="31"/>
      <c r="E6" s="23"/>
      <c r="F6" s="23"/>
      <c r="G6" s="23"/>
      <c r="H6" s="23"/>
      <c r="I6" s="23"/>
      <c r="J6" s="23"/>
      <c r="K6" s="23"/>
      <c r="L6" s="23"/>
    </row>
    <row r="7" spans="1:12" ht="15.75" thickBot="1" x14ac:dyDescent="0.3">
      <c r="A7" s="23"/>
      <c r="B7" s="32" t="s">
        <v>40</v>
      </c>
      <c r="C7" s="32" t="s">
        <v>41</v>
      </c>
      <c r="D7" s="32" t="s">
        <v>81</v>
      </c>
      <c r="E7" s="23"/>
      <c r="F7" s="23"/>
      <c r="G7" s="23"/>
      <c r="H7" s="23"/>
      <c r="I7" s="23"/>
      <c r="J7" s="23"/>
      <c r="K7" s="23"/>
      <c r="L7" s="23"/>
    </row>
    <row r="8" spans="1:12" ht="15.75" thickBot="1" x14ac:dyDescent="0.3">
      <c r="A8" s="23"/>
      <c r="B8" s="34" t="s">
        <v>50</v>
      </c>
      <c r="C8" s="34" t="s">
        <v>51</v>
      </c>
      <c r="D8" s="37">
        <v>268</v>
      </c>
      <c r="E8" s="23"/>
      <c r="F8" s="23"/>
      <c r="G8" s="23"/>
      <c r="H8" s="23"/>
      <c r="I8" s="23"/>
      <c r="J8" s="23"/>
      <c r="K8" s="23"/>
      <c r="L8" s="23"/>
    </row>
    <row r="9" spans="1:12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</row>
    <row r="10" spans="1:12" ht="15.75" thickBot="1" x14ac:dyDescent="0.3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spans="1:12" x14ac:dyDescent="0.25">
      <c r="A11" s="23"/>
      <c r="B11" s="31"/>
      <c r="C11" s="31" t="s">
        <v>94</v>
      </c>
      <c r="D11" s="31"/>
      <c r="E11" s="23"/>
      <c r="F11" s="31" t="s">
        <v>95</v>
      </c>
      <c r="G11" s="31" t="s">
        <v>84</v>
      </c>
      <c r="H11" s="23"/>
      <c r="I11" s="31" t="s">
        <v>97</v>
      </c>
      <c r="J11" s="31" t="s">
        <v>84</v>
      </c>
      <c r="K11" s="23"/>
      <c r="L11" s="23"/>
    </row>
    <row r="12" spans="1:12" ht="15.75" thickBot="1" x14ac:dyDescent="0.3">
      <c r="A12" s="23"/>
      <c r="B12" s="32" t="s">
        <v>40</v>
      </c>
      <c r="C12" s="32" t="s">
        <v>41</v>
      </c>
      <c r="D12" s="32" t="s">
        <v>81</v>
      </c>
      <c r="E12" s="23"/>
      <c r="F12" s="32" t="s">
        <v>27</v>
      </c>
      <c r="G12" s="32" t="s">
        <v>96</v>
      </c>
      <c r="H12" s="23"/>
      <c r="I12" s="32" t="s">
        <v>27</v>
      </c>
      <c r="J12" s="32" t="s">
        <v>96</v>
      </c>
      <c r="K12" s="23"/>
      <c r="L12" s="23"/>
    </row>
    <row r="13" spans="1:12" x14ac:dyDescent="0.25">
      <c r="A13" s="23"/>
      <c r="B13" s="33" t="s">
        <v>52</v>
      </c>
      <c r="C13" s="33" t="s">
        <v>53</v>
      </c>
      <c r="D13" s="33">
        <v>10</v>
      </c>
      <c r="E13" s="23"/>
      <c r="F13" s="33">
        <v>10</v>
      </c>
      <c r="G13" s="33">
        <v>268</v>
      </c>
      <c r="H13" s="23"/>
      <c r="I13" s="33">
        <v>10</v>
      </c>
      <c r="J13" s="33">
        <v>268</v>
      </c>
      <c r="K13" s="23"/>
      <c r="L13" s="23"/>
    </row>
    <row r="14" spans="1:12" x14ac:dyDescent="0.25">
      <c r="A14" s="23"/>
      <c r="B14" s="33" t="s">
        <v>55</v>
      </c>
      <c r="C14" s="33" t="s">
        <v>56</v>
      </c>
      <c r="D14" s="33">
        <v>45</v>
      </c>
      <c r="E14" s="23"/>
      <c r="F14" s="33">
        <v>20</v>
      </c>
      <c r="G14" s="33">
        <v>208</v>
      </c>
      <c r="H14" s="23"/>
      <c r="I14" s="33">
        <v>45</v>
      </c>
      <c r="J14" s="33">
        <v>268</v>
      </c>
      <c r="K14" s="23"/>
      <c r="L14" s="23"/>
    </row>
    <row r="15" spans="1:12" x14ac:dyDescent="0.25">
      <c r="A15" s="23"/>
      <c r="B15" s="33" t="s">
        <v>57</v>
      </c>
      <c r="C15" s="33" t="s">
        <v>58</v>
      </c>
      <c r="D15" s="33">
        <v>10</v>
      </c>
      <c r="E15" s="23"/>
      <c r="F15" s="33">
        <v>5</v>
      </c>
      <c r="G15" s="33">
        <v>250.5</v>
      </c>
      <c r="H15" s="23"/>
      <c r="I15" s="33">
        <v>10</v>
      </c>
      <c r="J15" s="33">
        <v>268</v>
      </c>
      <c r="K15" s="23"/>
      <c r="L15" s="23"/>
    </row>
    <row r="16" spans="1:12" ht="15.75" thickBot="1" x14ac:dyDescent="0.3">
      <c r="A16" s="23"/>
      <c r="B16" s="34" t="s">
        <v>59</v>
      </c>
      <c r="C16" s="34" t="s">
        <v>60</v>
      </c>
      <c r="D16" s="34">
        <v>50</v>
      </c>
      <c r="E16" s="23"/>
      <c r="F16" s="34">
        <v>20</v>
      </c>
      <c r="G16" s="34">
        <v>223</v>
      </c>
      <c r="H16" s="23"/>
      <c r="I16" s="34">
        <v>50</v>
      </c>
      <c r="J16" s="34">
        <v>268</v>
      </c>
      <c r="K16" s="23"/>
      <c r="L16" s="23"/>
    </row>
    <row r="17" spans="1:12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</row>
    <row r="18" spans="1:12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</row>
    <row r="19" spans="1:12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0" spans="1:12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spans="1:12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spans="1:12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spans="1:12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</row>
    <row r="24" spans="1:12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8"/>
  <sheetViews>
    <sheetView showGridLines="0" topLeftCell="A5" zoomScaleNormal="100" workbookViewId="0">
      <selection activeCell="N29" sqref="N29"/>
    </sheetView>
  </sheetViews>
  <sheetFormatPr baseColWidth="10" defaultColWidth="8.7109375" defaultRowHeight="15" outlineLevelRow="3" x14ac:dyDescent="0.25"/>
  <cols>
    <col min="1" max="1" width="2" customWidth="1"/>
    <col min="2" max="2" width="52.5703125" customWidth="1"/>
    <col min="3" max="3" width="11" customWidth="1"/>
    <col min="4" max="4" width="11.85546875" bestFit="1" customWidth="1"/>
    <col min="5" max="5" width="11" customWidth="1"/>
    <col min="6" max="6" width="15.7109375" bestFit="1" customWidth="1"/>
    <col min="7" max="7" width="9.42578125" bestFit="1" customWidth="1"/>
    <col min="8" max="8" width="4" customWidth="1"/>
    <col min="9" max="9" width="10.5703125" bestFit="1" customWidth="1"/>
    <col min="10" max="10" width="13.7109375" bestFit="1" customWidth="1"/>
  </cols>
  <sheetData>
    <row r="1" spans="2:10" ht="25.5" customHeight="1" x14ac:dyDescent="0.25">
      <c r="B1" s="1" t="s">
        <v>0</v>
      </c>
      <c r="C1" s="2"/>
      <c r="D1" s="2"/>
      <c r="E1" s="2"/>
      <c r="F1" s="2"/>
      <c r="G1" s="2"/>
      <c r="H1" s="2"/>
      <c r="I1" s="2"/>
      <c r="J1" s="2"/>
    </row>
    <row r="3" spans="2:10" x14ac:dyDescent="0.25">
      <c r="B3" s="3" t="s">
        <v>1</v>
      </c>
      <c r="C3" s="4"/>
      <c r="D3" s="4"/>
      <c r="E3" s="4"/>
      <c r="F3" s="4"/>
      <c r="G3" s="4"/>
      <c r="H3" s="4"/>
      <c r="I3" s="4"/>
      <c r="J3" s="4"/>
    </row>
    <row r="4" spans="2:10" x14ac:dyDescent="0.25">
      <c r="B4" s="5"/>
      <c r="C4" s="6" t="s">
        <v>2</v>
      </c>
      <c r="D4" s="6" t="s">
        <v>3</v>
      </c>
      <c r="E4" s="6" t="s">
        <v>4</v>
      </c>
      <c r="F4" s="6" t="s">
        <v>5</v>
      </c>
    </row>
    <row r="5" spans="2:10" x14ac:dyDescent="0.25">
      <c r="B5" s="7" t="s">
        <v>6</v>
      </c>
      <c r="C5" s="8">
        <v>10</v>
      </c>
      <c r="D5" s="8">
        <v>45</v>
      </c>
      <c r="E5" s="8">
        <v>10</v>
      </c>
      <c r="F5" s="8">
        <v>50</v>
      </c>
    </row>
    <row r="6" spans="2:10" x14ac:dyDescent="0.25">
      <c r="B6" s="9" t="s">
        <v>7</v>
      </c>
      <c r="C6" s="10">
        <v>5</v>
      </c>
      <c r="D6" s="10">
        <v>2.4</v>
      </c>
      <c r="E6" s="10">
        <v>3.5</v>
      </c>
      <c r="F6" s="10">
        <v>1.5</v>
      </c>
    </row>
    <row r="7" spans="2:10" ht="15.75" x14ac:dyDescent="0.25">
      <c r="B7" s="11" t="s">
        <v>8</v>
      </c>
      <c r="C7" s="12">
        <f>SUMPRODUCT(C6:F6,C5:F5)</f>
        <v>268</v>
      </c>
    </row>
    <row r="9" spans="2:10" x14ac:dyDescent="0.25">
      <c r="B9" s="3" t="s">
        <v>9</v>
      </c>
      <c r="C9" s="4"/>
      <c r="D9" s="4"/>
      <c r="E9" s="4"/>
      <c r="F9" s="4"/>
      <c r="G9" s="4"/>
      <c r="H9" s="4"/>
      <c r="I9" s="4"/>
      <c r="J9" s="4"/>
    </row>
    <row r="10" spans="2:10" x14ac:dyDescent="0.25">
      <c r="B10" s="6" t="s">
        <v>10</v>
      </c>
      <c r="C10" s="6" t="s">
        <v>11</v>
      </c>
      <c r="D10" s="6" t="s">
        <v>12</v>
      </c>
      <c r="E10" s="6" t="s">
        <v>13</v>
      </c>
      <c r="F10" s="6" t="s">
        <v>14</v>
      </c>
      <c r="G10" s="6" t="s">
        <v>15</v>
      </c>
      <c r="H10" s="13"/>
      <c r="I10" s="6" t="s">
        <v>16</v>
      </c>
      <c r="J10" s="6" t="s">
        <v>17</v>
      </c>
    </row>
    <row r="11" spans="2:10" x14ac:dyDescent="0.25">
      <c r="B11" s="14" t="s">
        <v>18</v>
      </c>
      <c r="C11" s="15">
        <v>2</v>
      </c>
      <c r="D11" s="15">
        <v>1</v>
      </c>
      <c r="E11" s="15">
        <v>1.5</v>
      </c>
      <c r="F11" s="15">
        <v>0.5</v>
      </c>
      <c r="G11" s="16">
        <f>SUMPRODUCT(C11:F11,$C$5:$F$5)</f>
        <v>105</v>
      </c>
      <c r="H11" s="17" t="s">
        <v>19</v>
      </c>
      <c r="I11" s="15">
        <v>110</v>
      </c>
      <c r="J11" s="18" t="str">
        <f>IF(I11-G11&lt;0.001,"ACTIVA (límite)","holgura "&amp;TEXT(I11-G11,"0.0"))</f>
        <v>holgura 05</v>
      </c>
    </row>
    <row r="12" spans="2:10" x14ac:dyDescent="0.25">
      <c r="B12" s="14" t="s">
        <v>20</v>
      </c>
      <c r="C12" s="15">
        <v>1.5</v>
      </c>
      <c r="D12" s="15">
        <v>0.5</v>
      </c>
      <c r="E12" s="15">
        <v>1</v>
      </c>
      <c r="F12" s="15">
        <v>0.25</v>
      </c>
      <c r="G12" s="16">
        <f>SUMPRODUCT(C12:F12,$C$5:$F$5)</f>
        <v>60</v>
      </c>
      <c r="H12" s="17" t="s">
        <v>19</v>
      </c>
      <c r="I12" s="15">
        <v>60</v>
      </c>
      <c r="J12" s="18" t="str">
        <f>IF(I12-G12&lt;0.001,"ACTIVA (límite)","holgura "&amp;TEXT(I12-G12,"0.0"))</f>
        <v>ACTIVA (límite)</v>
      </c>
    </row>
    <row r="13" spans="2:10" outlineLevel="3" x14ac:dyDescent="0.25">
      <c r="B13" s="14" t="s">
        <v>21</v>
      </c>
      <c r="C13" s="15">
        <v>0.4</v>
      </c>
      <c r="D13" s="15">
        <v>0.15</v>
      </c>
      <c r="E13" s="15">
        <v>0.3</v>
      </c>
      <c r="F13" s="15">
        <v>0.05</v>
      </c>
      <c r="G13" s="16">
        <f>SUMPRODUCT(C13:F13,$C$5:$F$5)</f>
        <v>16.25</v>
      </c>
      <c r="H13" s="17" t="s">
        <v>19</v>
      </c>
      <c r="I13" s="15">
        <v>20</v>
      </c>
      <c r="J13" s="18" t="str">
        <f>IF(I13-G13&lt;0.001,"ACTIVA (límite)","holgura "&amp;TEXT(I13-G13,"0.0"))</f>
        <v>holgura 04</v>
      </c>
    </row>
    <row r="14" spans="2:10" outlineLevel="3" x14ac:dyDescent="0.25">
      <c r="B14" s="14" t="s">
        <v>22</v>
      </c>
      <c r="C14" s="15">
        <v>0.5</v>
      </c>
      <c r="D14" s="15">
        <v>0.25</v>
      </c>
      <c r="E14" s="15">
        <v>0.4</v>
      </c>
      <c r="F14" s="15">
        <v>0.15</v>
      </c>
      <c r="G14" s="16">
        <f>SUMPRODUCT(C14:F14,$C$5:$F$5)</f>
        <v>27.75</v>
      </c>
      <c r="H14" s="17" t="s">
        <v>19</v>
      </c>
      <c r="I14" s="15">
        <v>28</v>
      </c>
      <c r="J14" s="18" t="str">
        <f>IF(I14-G14&lt;0.001,"ACTIVA (límite)","holgura "&amp;TEXT(I14-G14,"0.0"))</f>
        <v>holgura 00</v>
      </c>
    </row>
    <row r="15" spans="2:10" outlineLevel="2" x14ac:dyDescent="0.25">
      <c r="B15" s="14" t="s">
        <v>23</v>
      </c>
      <c r="C15" s="15">
        <v>12</v>
      </c>
      <c r="D15" s="15">
        <v>6</v>
      </c>
      <c r="E15" s="15">
        <v>9</v>
      </c>
      <c r="F15" s="15">
        <v>4</v>
      </c>
      <c r="G15" s="16">
        <f>SUMPRODUCT(C15:F15,$C$5:$F$5)</f>
        <v>680</v>
      </c>
      <c r="H15" s="17" t="s">
        <v>19</v>
      </c>
      <c r="I15" s="15">
        <v>800</v>
      </c>
      <c r="J15" s="18" t="str">
        <f>IF(I15-G15&lt;0.001,"ACTIVA (límite)","holgura "&amp;TEXT(I15-G15,"0.0"))</f>
        <v>holgura 120</v>
      </c>
    </row>
    <row r="16" spans="2:10" outlineLevel="1" x14ac:dyDescent="0.25">
      <c r="B16" s="9"/>
      <c r="C16" s="28"/>
      <c r="D16" s="28"/>
      <c r="E16" s="28"/>
      <c r="F16" s="28"/>
      <c r="G16" s="29"/>
      <c r="H16" s="17"/>
      <c r="I16" s="28"/>
      <c r="J16" s="30"/>
    </row>
    <row r="17" spans="2:10" outlineLevel="1" x14ac:dyDescent="0.25"/>
    <row r="19" spans="2:10" x14ac:dyDescent="0.25">
      <c r="B19" s="3" t="s">
        <v>24</v>
      </c>
      <c r="C19" s="4"/>
      <c r="D19" s="4"/>
      <c r="E19" s="4"/>
      <c r="F19" s="4"/>
      <c r="G19" s="4"/>
      <c r="H19" s="4"/>
      <c r="I19" s="4"/>
      <c r="J19" s="4"/>
    </row>
    <row r="20" spans="2:10" x14ac:dyDescent="0.25">
      <c r="B20" s="6" t="s">
        <v>25</v>
      </c>
      <c r="C20" s="6" t="s">
        <v>26</v>
      </c>
      <c r="D20" s="13"/>
      <c r="E20" s="6" t="s">
        <v>27</v>
      </c>
      <c r="F20" s="6" t="s">
        <v>28</v>
      </c>
    </row>
    <row r="21" spans="2:10" x14ac:dyDescent="0.25">
      <c r="B21" s="14" t="s">
        <v>2</v>
      </c>
      <c r="C21" s="19">
        <f>C5</f>
        <v>10</v>
      </c>
      <c r="D21" s="17" t="s">
        <v>19</v>
      </c>
      <c r="E21" s="20">
        <v>25</v>
      </c>
      <c r="F21" s="21" t="s">
        <v>29</v>
      </c>
    </row>
    <row r="22" spans="2:10" x14ac:dyDescent="0.25">
      <c r="B22" s="14" t="s">
        <v>3</v>
      </c>
      <c r="C22" s="19">
        <f>D5</f>
        <v>45</v>
      </c>
      <c r="D22" s="17" t="s">
        <v>19</v>
      </c>
      <c r="E22" s="20">
        <v>45</v>
      </c>
      <c r="F22" s="21" t="s">
        <v>29</v>
      </c>
    </row>
    <row r="23" spans="2:10" x14ac:dyDescent="0.25">
      <c r="B23" s="14" t="s">
        <v>4</v>
      </c>
      <c r="C23" s="19">
        <f>E5</f>
        <v>10</v>
      </c>
      <c r="D23" s="17" t="s">
        <v>19</v>
      </c>
      <c r="E23" s="20">
        <v>20</v>
      </c>
      <c r="F23" s="21" t="s">
        <v>29</v>
      </c>
    </row>
    <row r="24" spans="2:10" x14ac:dyDescent="0.25">
      <c r="B24" s="14" t="s">
        <v>5</v>
      </c>
      <c r="C24" s="19">
        <f>F5</f>
        <v>50</v>
      </c>
      <c r="D24" s="17" t="s">
        <v>19</v>
      </c>
      <c r="E24" s="20">
        <v>50</v>
      </c>
      <c r="F24" s="21" t="s">
        <v>29</v>
      </c>
    </row>
    <row r="25" spans="2:10" x14ac:dyDescent="0.25">
      <c r="B25" s="14" t="s">
        <v>2</v>
      </c>
      <c r="C25" s="19">
        <f>+C5</f>
        <v>10</v>
      </c>
      <c r="D25" s="17" t="s">
        <v>30</v>
      </c>
      <c r="E25" s="20">
        <v>10</v>
      </c>
      <c r="F25" s="21" t="s">
        <v>31</v>
      </c>
    </row>
    <row r="26" spans="2:10" x14ac:dyDescent="0.25">
      <c r="B26" s="14" t="s">
        <v>3</v>
      </c>
      <c r="C26" s="19">
        <f>+D5</f>
        <v>45</v>
      </c>
      <c r="D26" s="17" t="s">
        <v>30</v>
      </c>
      <c r="E26" s="20">
        <v>20</v>
      </c>
      <c r="F26" s="21" t="s">
        <v>31</v>
      </c>
    </row>
    <row r="27" spans="2:10" x14ac:dyDescent="0.25">
      <c r="B27" s="14" t="s">
        <v>4</v>
      </c>
      <c r="C27" s="19">
        <f>+E5</f>
        <v>10</v>
      </c>
      <c r="D27" s="17" t="s">
        <v>30</v>
      </c>
      <c r="E27" s="20">
        <v>5</v>
      </c>
      <c r="F27" s="21" t="s">
        <v>31</v>
      </c>
    </row>
    <row r="28" spans="2:10" x14ac:dyDescent="0.25">
      <c r="B28" s="14" t="s">
        <v>5</v>
      </c>
      <c r="C28" s="19">
        <f>+F5</f>
        <v>50</v>
      </c>
      <c r="D28" s="17" t="s">
        <v>30</v>
      </c>
      <c r="E28" s="20">
        <v>20</v>
      </c>
      <c r="F28" s="21" t="s">
        <v>31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Informe de respuestas 3</vt:lpstr>
      <vt:lpstr>Informe de sensibilidad 3</vt:lpstr>
      <vt:lpstr>Informe de límites 3</vt:lpstr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Luis Enrique Vasquez Menjivar</cp:lastModifiedBy>
  <cp:revision>0</cp:revision>
  <dcterms:created xsi:type="dcterms:W3CDTF">2026-06-10T22:28:52Z</dcterms:created>
  <dcterms:modified xsi:type="dcterms:W3CDTF">2026-06-11T15:47:22Z</dcterms:modified>
  <dc:language>en-US</dc:language>
</cp:coreProperties>
</file>