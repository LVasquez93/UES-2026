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"/>
    </mc:Choice>
  </mc:AlternateContent>
  <xr:revisionPtr revIDLastSave="0" documentId="13_ncr:1_{0B81D1D7-9A84-457F-9736-4B2BE7915DB4}" xr6:coauthVersionLast="47" xr6:coauthVersionMax="47" xr10:uidLastSave="{00000000-0000-0000-0000-000000000000}"/>
  <bookViews>
    <workbookView xWindow="-120" yWindow="-120" windowWidth="20640" windowHeight="11160" xr2:uid="{B7239F59-0E62-4A89-969B-EA3D11B94741}"/>
  </bookViews>
  <sheets>
    <sheet name="LITERAL A PREGUNTA2" sheetId="4" r:id="rId1"/>
    <sheet name="ESQUINA NORESTE" sheetId="3" r:id="rId2"/>
    <sheet name="COSTO MINIM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" l="1"/>
  <c r="O5" i="1"/>
  <c r="N5" i="1"/>
  <c r="D26" i="3"/>
  <c r="K16" i="3"/>
  <c r="I16" i="3"/>
  <c r="G16" i="3"/>
  <c r="E16" i="3"/>
  <c r="C16" i="3"/>
  <c r="K13" i="3"/>
  <c r="I13" i="3"/>
  <c r="G13" i="3"/>
  <c r="E13" i="3"/>
  <c r="C13" i="3"/>
  <c r="K10" i="3"/>
  <c r="I10" i="3"/>
  <c r="G10" i="3"/>
  <c r="E10" i="3"/>
  <c r="C10" i="3"/>
  <c r="K7" i="3"/>
  <c r="I7" i="3"/>
  <c r="G7" i="3"/>
  <c r="E7" i="3"/>
  <c r="C7" i="3"/>
  <c r="K4" i="3"/>
  <c r="I4" i="3"/>
  <c r="G4" i="3"/>
  <c r="E4" i="3"/>
  <c r="C4" i="3"/>
  <c r="K16" i="1"/>
  <c r="I16" i="1"/>
  <c r="G16" i="1"/>
  <c r="E16" i="1"/>
  <c r="C16" i="1"/>
  <c r="K13" i="1"/>
  <c r="I13" i="1"/>
  <c r="G13" i="1"/>
  <c r="E13" i="1"/>
  <c r="C13" i="1"/>
  <c r="K10" i="1"/>
  <c r="I10" i="1"/>
  <c r="G10" i="1"/>
  <c r="E10" i="1"/>
  <c r="C10" i="1"/>
  <c r="K7" i="1"/>
  <c r="I7" i="1"/>
  <c r="G7" i="1"/>
  <c r="E7" i="1"/>
  <c r="C7" i="1"/>
  <c r="K4" i="1"/>
  <c r="I4" i="1"/>
  <c r="G4" i="1"/>
  <c r="E4" i="1"/>
  <c r="C4" i="1"/>
</calcChain>
</file>

<file path=xl/sharedStrings.xml><?xml version="1.0" encoding="utf-8"?>
<sst xmlns="http://schemas.openxmlformats.org/spreadsheetml/2006/main" count="27" uniqueCount="15">
  <si>
    <t>Oferta</t>
  </si>
  <si>
    <t>Demanda</t>
  </si>
  <si>
    <t>Concesionario 1</t>
  </si>
  <si>
    <t>Concesionario 2</t>
  </si>
  <si>
    <t>Concesionario 3</t>
  </si>
  <si>
    <t>Concesionario 4</t>
  </si>
  <si>
    <t>Concesionario 5</t>
  </si>
  <si>
    <t>Centro 1</t>
  </si>
  <si>
    <t>Centro 2</t>
  </si>
  <si>
    <t>Centro 3</t>
  </si>
  <si>
    <t>Centro 4</t>
  </si>
  <si>
    <t>Centro 5</t>
  </si>
  <si>
    <t>Costo =</t>
  </si>
  <si>
    <t xml:space="preserve">COSTO = 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</si>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</sst>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2" fillId="2" borderId="5" xfId="0" applyFont="1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0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2" fontId="0" fillId="2" borderId="4" xfId="0" applyNumberFormat="1" applyFill="1" applyBorder="1"/>
    <xf numFmtId="0" fontId="0" fillId="3" borderId="9" xfId="0" applyFill="1" applyBorder="1"/>
    <xf numFmtId="0" fontId="0" fillId="3" borderId="13" xfId="0" applyFill="1" applyBorder="1"/>
    <xf numFmtId="0" fontId="5" fillId="2" borderId="6" xfId="0" applyFont="1" applyFill="1" applyBorder="1"/>
    <xf numFmtId="0" fontId="0" fillId="3" borderId="0" xfId="0" applyFill="1"/>
    <xf numFmtId="0" fontId="0" fillId="3" borderId="14" xfId="0" applyFill="1" applyBorder="1"/>
    <xf numFmtId="0" fontId="0" fillId="3" borderId="0" xfId="0" applyFill="1" applyBorder="1"/>
    <xf numFmtId="0" fontId="0" fillId="4" borderId="3" xfId="0" applyFill="1" applyBorder="1"/>
    <xf numFmtId="2" fontId="0" fillId="4" borderId="4" xfId="0" applyNumberFormat="1" applyFill="1" applyBorder="1"/>
    <xf numFmtId="0" fontId="2" fillId="4" borderId="5" xfId="0" applyFont="1" applyFill="1" applyBorder="1"/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4" borderId="0" xfId="0" applyFill="1"/>
    <xf numFmtId="0" fontId="5" fillId="4" borderId="6" xfId="0" applyFont="1" applyFill="1" applyBorder="1"/>
    <xf numFmtId="0" fontId="0" fillId="4" borderId="7" xfId="0" applyFill="1" applyBorder="1"/>
    <xf numFmtId="0" fontId="0" fillId="4" borderId="5" xfId="0" applyFill="1" applyBorder="1"/>
    <xf numFmtId="0" fontId="6" fillId="4" borderId="6" xfId="0" applyFont="1" applyFill="1" applyBorder="1"/>
    <xf numFmtId="0" fontId="4" fillId="3" borderId="8" xfId="0" applyFont="1" applyFill="1" applyBorder="1"/>
    <xf numFmtId="2" fontId="4" fillId="3" borderId="10" xfId="0" applyNumberFormat="1" applyFont="1" applyFill="1" applyBorder="1"/>
    <xf numFmtId="0" fontId="5" fillId="3" borderId="8" xfId="0" applyFont="1" applyFill="1" applyBorder="1"/>
    <xf numFmtId="2" fontId="5" fillId="3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276224</xdr:colOff>
      <xdr:row>37</xdr:row>
      <xdr:rowOff>176222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6907A4-126B-44CA-B6E4-5933CB831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34224" cy="72247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6</xdr:row>
      <xdr:rowOff>57150</xdr:rowOff>
    </xdr:from>
    <xdr:to>
      <xdr:col>2</xdr:col>
      <xdr:colOff>95250</xdr:colOff>
      <xdr:row>16</xdr:row>
      <xdr:rowOff>190500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7053B65-16A2-430B-8F29-FE2A012AC8B7}"/>
            </a:ext>
          </a:extLst>
        </xdr:cNvPr>
        <xdr:cNvCxnSpPr/>
      </xdr:nvCxnSpPr>
      <xdr:spPr>
        <a:xfrm>
          <a:off x="1619250" y="1276350"/>
          <a:ext cx="0" cy="223837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</xdr:row>
      <xdr:rowOff>76200</xdr:rowOff>
    </xdr:from>
    <xdr:to>
      <xdr:col>4</xdr:col>
      <xdr:colOff>152400</xdr:colOff>
      <xdr:row>18</xdr:row>
      <xdr:rowOff>9525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5E63F3FD-19D7-42A8-8293-616A9DD68278}"/>
            </a:ext>
          </a:extLst>
        </xdr:cNvPr>
        <xdr:cNvCxnSpPr/>
      </xdr:nvCxnSpPr>
      <xdr:spPr>
        <a:xfrm>
          <a:off x="3190875" y="1371600"/>
          <a:ext cx="9525" cy="25622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9</xdr:row>
      <xdr:rowOff>66675</xdr:rowOff>
    </xdr:from>
    <xdr:to>
      <xdr:col>6</xdr:col>
      <xdr:colOff>295275</xdr:colOff>
      <xdr:row>18</xdr:row>
      <xdr:rowOff>9525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154EF3B3-B993-421C-A6B8-7CC3036679C2}"/>
            </a:ext>
          </a:extLst>
        </xdr:cNvPr>
        <xdr:cNvCxnSpPr/>
      </xdr:nvCxnSpPr>
      <xdr:spPr>
        <a:xfrm>
          <a:off x="4857750" y="2076450"/>
          <a:ext cx="9525" cy="185737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5</xdr:row>
      <xdr:rowOff>28575</xdr:rowOff>
    </xdr:from>
    <xdr:to>
      <xdr:col>10</xdr:col>
      <xdr:colOff>742950</xdr:colOff>
      <xdr:row>5</xdr:row>
      <xdr:rowOff>28575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8A416260-2557-4D31-9E98-894211D12BEF}"/>
            </a:ext>
          </a:extLst>
        </xdr:cNvPr>
        <xdr:cNvCxnSpPr/>
      </xdr:nvCxnSpPr>
      <xdr:spPr>
        <a:xfrm>
          <a:off x="5524500" y="1057275"/>
          <a:ext cx="2838450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12</xdr:row>
      <xdr:rowOff>104775</xdr:rowOff>
    </xdr:from>
    <xdr:to>
      <xdr:col>8</xdr:col>
      <xdr:colOff>123825</xdr:colOff>
      <xdr:row>18</xdr:row>
      <xdr:rowOff>28575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BE7A0882-9AAC-4926-9696-7262FF0A862E}"/>
            </a:ext>
          </a:extLst>
        </xdr:cNvPr>
        <xdr:cNvCxnSpPr/>
      </xdr:nvCxnSpPr>
      <xdr:spPr>
        <a:xfrm>
          <a:off x="6219825" y="2752725"/>
          <a:ext cx="0" cy="120015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8</xdr:row>
      <xdr:rowOff>76200</xdr:rowOff>
    </xdr:from>
    <xdr:to>
      <xdr:col>11</xdr:col>
      <xdr:colOff>9525</xdr:colOff>
      <xdr:row>8</xdr:row>
      <xdr:rowOff>76200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E99D1693-0D63-4846-9A6C-D196CE999667}"/>
            </a:ext>
          </a:extLst>
        </xdr:cNvPr>
        <xdr:cNvCxnSpPr/>
      </xdr:nvCxnSpPr>
      <xdr:spPr>
        <a:xfrm>
          <a:off x="6905625" y="1819275"/>
          <a:ext cx="1485900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</xdr:row>
      <xdr:rowOff>76200</xdr:rowOff>
    </xdr:from>
    <xdr:to>
      <xdr:col>2</xdr:col>
      <xdr:colOff>85726</xdr:colOff>
      <xdr:row>17</xdr:row>
      <xdr:rowOff>161925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E342545-C0D0-4348-BEAB-D5E58E1269B3}"/>
            </a:ext>
          </a:extLst>
        </xdr:cNvPr>
        <xdr:cNvCxnSpPr/>
      </xdr:nvCxnSpPr>
      <xdr:spPr>
        <a:xfrm>
          <a:off x="1600200" y="1590675"/>
          <a:ext cx="9526" cy="246697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11</xdr:row>
      <xdr:rowOff>47626</xdr:rowOff>
    </xdr:from>
    <xdr:to>
      <xdr:col>10</xdr:col>
      <xdr:colOff>666750</xdr:colOff>
      <xdr:row>11</xdr:row>
      <xdr:rowOff>76200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FD81AE3D-AFA3-49ED-A106-F1E24E769294}"/>
            </a:ext>
          </a:extLst>
        </xdr:cNvPr>
        <xdr:cNvCxnSpPr/>
      </xdr:nvCxnSpPr>
      <xdr:spPr>
        <a:xfrm>
          <a:off x="4133850" y="2562226"/>
          <a:ext cx="4152900" cy="28574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7</xdr:row>
      <xdr:rowOff>209550</xdr:rowOff>
    </xdr:from>
    <xdr:to>
      <xdr:col>10</xdr:col>
      <xdr:colOff>752475</xdr:colOff>
      <xdr:row>7</xdr:row>
      <xdr:rowOff>219075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D263C64D-B75D-47CD-AA4A-5F34166A88CA}"/>
            </a:ext>
          </a:extLst>
        </xdr:cNvPr>
        <xdr:cNvCxnSpPr/>
      </xdr:nvCxnSpPr>
      <xdr:spPr>
        <a:xfrm flipV="1">
          <a:off x="6953250" y="1724025"/>
          <a:ext cx="1419225" cy="95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7</xdr:row>
      <xdr:rowOff>219075</xdr:rowOff>
    </xdr:from>
    <xdr:to>
      <xdr:col>4</xdr:col>
      <xdr:colOff>742950</xdr:colOff>
      <xdr:row>7</xdr:row>
      <xdr:rowOff>228600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10C53ECC-5FAB-4047-B9E0-0042ECF4BFB4}"/>
            </a:ext>
          </a:extLst>
        </xdr:cNvPr>
        <xdr:cNvCxnSpPr/>
      </xdr:nvCxnSpPr>
      <xdr:spPr>
        <a:xfrm flipV="1">
          <a:off x="2371725" y="1733550"/>
          <a:ext cx="1419225" cy="95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742950</xdr:colOff>
      <xdr:row>13</xdr:row>
      <xdr:rowOff>180976</xdr:rowOff>
    </xdr:from>
    <xdr:to>
      <xdr:col>4</xdr:col>
      <xdr:colOff>0</xdr:colOff>
      <xdr:row>17</xdr:row>
      <xdr:rowOff>57150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A5693E82-6159-4A23-83FE-95BDC2ADAA3A}"/>
            </a:ext>
          </a:extLst>
        </xdr:cNvPr>
        <xdr:cNvCxnSpPr/>
      </xdr:nvCxnSpPr>
      <xdr:spPr>
        <a:xfrm>
          <a:off x="3028950" y="3181351"/>
          <a:ext cx="19050" cy="771524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3BBC-A02C-47B0-B119-14C0D6C12A3F}">
  <dimension ref="A1"/>
  <sheetViews>
    <sheetView tabSelected="1" topLeftCell="A14" workbookViewId="0">
      <selection activeCell="K29" sqref="K29"/>
    </sheetView>
  </sheetViews>
  <sheetFormatPr baseColWidth="10" defaultRowHeight="15" x14ac:dyDescent="0.25"/>
  <sheetData>
    <row r="1" spans="1:1" x14ac:dyDescent="0.25">
      <c r="A1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C0D2-9D12-4151-BC3B-E0ED724033EB}">
  <dimension ref="A1:P26"/>
  <sheetViews>
    <sheetView topLeftCell="A6" zoomScale="87" workbookViewId="0">
      <selection activeCell="G24" sqref="G24"/>
    </sheetView>
  </sheetViews>
  <sheetFormatPr baseColWidth="10" defaultRowHeight="15" x14ac:dyDescent="0.25"/>
  <cols>
    <col min="13" max="14" width="6.71093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x14ac:dyDescent="0.25">
      <c r="A3" s="1"/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12"/>
      <c r="M3" s="18" t="s">
        <v>0</v>
      </c>
      <c r="N3" s="19"/>
    </row>
    <row r="4" spans="1:16" x14ac:dyDescent="0.25">
      <c r="A4" s="3" t="s">
        <v>7</v>
      </c>
      <c r="B4" s="31"/>
      <c r="C4" s="32">
        <f>(25/18)*B6</f>
        <v>138.88888888888889</v>
      </c>
      <c r="D4" s="31"/>
      <c r="E4" s="32">
        <f>(25/18)*D6</f>
        <v>208.33333333333331</v>
      </c>
      <c r="F4" s="31"/>
      <c r="G4" s="32">
        <f>(25/18)*F6</f>
        <v>277.77777777777777</v>
      </c>
      <c r="H4" s="4"/>
      <c r="I4" s="24">
        <f>(25/18)*H6</f>
        <v>194.44444444444443</v>
      </c>
      <c r="J4" s="4"/>
      <c r="K4" s="24">
        <f>(25/18)*J6</f>
        <v>48.611111111111107</v>
      </c>
      <c r="L4" s="13"/>
      <c r="M4" s="20"/>
      <c r="N4" s="21"/>
    </row>
    <row r="5" spans="1:16" ht="20.25" customHeight="1" x14ac:dyDescent="0.25">
      <c r="A5" s="3"/>
      <c r="B5" s="33"/>
      <c r="C5" s="34"/>
      <c r="D5" s="33"/>
      <c r="E5" s="35"/>
      <c r="F5" s="39"/>
      <c r="G5" s="34"/>
      <c r="H5" s="9"/>
      <c r="I5" s="7"/>
      <c r="J5" s="9"/>
      <c r="K5" s="7"/>
      <c r="L5" s="13"/>
      <c r="M5" s="26">
        <v>400</v>
      </c>
      <c r="N5" s="29">
        <v>300</v>
      </c>
      <c r="O5" s="28">
        <v>100</v>
      </c>
      <c r="P5" s="30">
        <v>0</v>
      </c>
    </row>
    <row r="6" spans="1:16" ht="21" x14ac:dyDescent="0.35">
      <c r="A6" s="3"/>
      <c r="B6" s="36">
        <v>100</v>
      </c>
      <c r="C6" s="37">
        <v>100</v>
      </c>
      <c r="D6" s="38">
        <v>150</v>
      </c>
      <c r="E6" s="37">
        <v>200</v>
      </c>
      <c r="F6" s="38">
        <v>200</v>
      </c>
      <c r="G6" s="37">
        <v>100</v>
      </c>
      <c r="H6" s="11">
        <v>140</v>
      </c>
      <c r="I6" s="10"/>
      <c r="J6" s="11">
        <v>35</v>
      </c>
      <c r="K6" s="10"/>
      <c r="L6" s="13"/>
      <c r="M6" s="20"/>
      <c r="N6" s="21"/>
    </row>
    <row r="7" spans="1:16" x14ac:dyDescent="0.25">
      <c r="A7" s="3" t="s">
        <v>8</v>
      </c>
      <c r="B7" s="4"/>
      <c r="C7" s="24">
        <f>(25/18)*B9</f>
        <v>69.444444444444443</v>
      </c>
      <c r="D7" s="4"/>
      <c r="E7" s="24">
        <f>(25/18)*D9</f>
        <v>97.222222222222214</v>
      </c>
      <c r="F7" s="31"/>
      <c r="G7" s="32">
        <f>(25/18)*F9</f>
        <v>83.333333333333329</v>
      </c>
      <c r="H7" s="31"/>
      <c r="I7" s="32">
        <f>(25/18)*H9</f>
        <v>90.277777777777771</v>
      </c>
      <c r="J7" s="4"/>
      <c r="K7" s="24">
        <f>(25/18)*J9</f>
        <v>111.11111111111111</v>
      </c>
      <c r="L7" s="13"/>
      <c r="M7" s="20"/>
      <c r="N7" s="21"/>
    </row>
    <row r="8" spans="1:16" ht="20.25" customHeight="1" x14ac:dyDescent="0.25">
      <c r="A8" s="3"/>
      <c r="B8" s="9"/>
      <c r="C8" s="7"/>
      <c r="D8" s="6"/>
      <c r="E8" s="7"/>
      <c r="F8" s="33"/>
      <c r="G8" s="34"/>
      <c r="H8" s="33"/>
      <c r="I8" s="34"/>
      <c r="J8" s="6"/>
      <c r="K8" s="7"/>
      <c r="L8" s="13"/>
      <c r="M8" s="26">
        <v>200</v>
      </c>
      <c r="N8" s="29">
        <v>150</v>
      </c>
      <c r="O8">
        <v>0</v>
      </c>
    </row>
    <row r="9" spans="1:16" ht="21" x14ac:dyDescent="0.35">
      <c r="A9" s="3"/>
      <c r="B9" s="11">
        <v>50</v>
      </c>
      <c r="C9" s="10"/>
      <c r="D9" s="11">
        <v>70</v>
      </c>
      <c r="E9" s="27"/>
      <c r="F9" s="38">
        <v>60</v>
      </c>
      <c r="G9" s="37">
        <v>50</v>
      </c>
      <c r="H9" s="38">
        <v>65</v>
      </c>
      <c r="I9" s="37">
        <v>150</v>
      </c>
      <c r="J9" s="11">
        <v>80</v>
      </c>
      <c r="K9" s="27"/>
      <c r="L9" s="13"/>
      <c r="M9" s="20"/>
      <c r="N9" s="21"/>
    </row>
    <row r="10" spans="1:16" x14ac:dyDescent="0.25">
      <c r="A10" s="3" t="s">
        <v>9</v>
      </c>
      <c r="B10" s="4"/>
      <c r="C10" s="24">
        <f>(25/18)*B12</f>
        <v>55.555555555555557</v>
      </c>
      <c r="D10" s="4"/>
      <c r="E10" s="24">
        <f>(25/18)*D12</f>
        <v>125</v>
      </c>
      <c r="F10" s="4"/>
      <c r="G10" s="24">
        <f>(25/18)*F12</f>
        <v>138.88888888888889</v>
      </c>
      <c r="H10" s="31"/>
      <c r="I10" s="32">
        <f>(25/18)*H12</f>
        <v>208.33333333333331</v>
      </c>
      <c r="J10" s="31"/>
      <c r="K10" s="32">
        <f>(25/18)*J12</f>
        <v>180.55555555555554</v>
      </c>
      <c r="L10" s="13"/>
      <c r="M10" s="20"/>
      <c r="N10" s="21"/>
    </row>
    <row r="11" spans="1:16" ht="20.25" customHeight="1" x14ac:dyDescent="0.25">
      <c r="A11" s="3"/>
      <c r="B11" s="6"/>
      <c r="C11" s="7"/>
      <c r="D11" s="9"/>
      <c r="E11" s="7"/>
      <c r="F11" s="9"/>
      <c r="G11" s="7"/>
      <c r="H11" s="33"/>
      <c r="I11" s="34"/>
      <c r="J11" s="33"/>
      <c r="K11" s="34"/>
      <c r="L11" s="13"/>
      <c r="M11" s="26">
        <v>150</v>
      </c>
      <c r="N11" s="29">
        <v>140</v>
      </c>
      <c r="O11">
        <v>0</v>
      </c>
    </row>
    <row r="12" spans="1:16" ht="21" x14ac:dyDescent="0.35">
      <c r="A12" s="3"/>
      <c r="B12" s="11">
        <v>40</v>
      </c>
      <c r="C12" s="10"/>
      <c r="D12" s="11">
        <v>90</v>
      </c>
      <c r="E12" s="10"/>
      <c r="F12" s="11">
        <v>100</v>
      </c>
      <c r="G12" s="10"/>
      <c r="H12" s="38">
        <v>150</v>
      </c>
      <c r="I12" s="37">
        <v>10</v>
      </c>
      <c r="J12" s="38">
        <v>130</v>
      </c>
      <c r="K12" s="37">
        <v>140</v>
      </c>
      <c r="L12" s="13"/>
      <c r="M12" s="20"/>
      <c r="N12" s="21"/>
    </row>
    <row r="13" spans="1:16" x14ac:dyDescent="0.25">
      <c r="A13" s="3" t="s">
        <v>10</v>
      </c>
      <c r="B13" s="4"/>
      <c r="C13" s="5">
        <f>(25/18)*B15</f>
        <v>0</v>
      </c>
      <c r="D13" s="4"/>
      <c r="E13" s="5">
        <f>(25/18)*D15</f>
        <v>0</v>
      </c>
      <c r="F13" s="4"/>
      <c r="G13" s="5">
        <f>(25/18)*F15</f>
        <v>0</v>
      </c>
      <c r="H13" s="4"/>
      <c r="I13" s="5">
        <f>(25/18)*H15</f>
        <v>0</v>
      </c>
      <c r="J13" s="4"/>
      <c r="K13" s="5">
        <f>(25/18)*J15</f>
        <v>0</v>
      </c>
      <c r="L13" s="13"/>
      <c r="M13" s="20"/>
      <c r="N13" s="21"/>
    </row>
    <row r="14" spans="1:16" ht="20.25" customHeight="1" x14ac:dyDescent="0.25">
      <c r="A14" s="3"/>
      <c r="B14" s="6"/>
      <c r="C14" s="7"/>
      <c r="D14" s="9"/>
      <c r="E14" s="7"/>
      <c r="F14" s="9"/>
      <c r="G14" s="7"/>
      <c r="H14" s="6"/>
      <c r="I14" s="7"/>
      <c r="J14" s="6"/>
      <c r="K14" s="7"/>
      <c r="L14" s="13"/>
      <c r="M14" s="20">
        <v>0</v>
      </c>
      <c r="N14" s="21"/>
    </row>
    <row r="15" spans="1:16" x14ac:dyDescent="0.25">
      <c r="A15" s="3"/>
      <c r="B15" s="11">
        <v>0</v>
      </c>
      <c r="C15" s="10"/>
      <c r="D15" s="11">
        <v>0</v>
      </c>
      <c r="E15" s="10"/>
      <c r="F15" s="11">
        <v>0</v>
      </c>
      <c r="G15" s="10"/>
      <c r="H15" s="11">
        <v>0</v>
      </c>
      <c r="I15" s="10"/>
      <c r="J15" s="11">
        <v>0</v>
      </c>
      <c r="K15" s="10"/>
      <c r="L15" s="13"/>
      <c r="M15" s="20"/>
      <c r="N15" s="21"/>
    </row>
    <row r="16" spans="1:16" x14ac:dyDescent="0.25">
      <c r="A16" s="3" t="s">
        <v>11</v>
      </c>
      <c r="B16" s="4"/>
      <c r="C16" s="5">
        <f>(25/18)*B18</f>
        <v>0</v>
      </c>
      <c r="D16" s="4"/>
      <c r="E16" s="5">
        <f>(25/18)*D18</f>
        <v>0</v>
      </c>
      <c r="F16" s="4"/>
      <c r="G16" s="5">
        <f>(25/18)*F18</f>
        <v>0</v>
      </c>
      <c r="H16" s="4"/>
      <c r="I16" s="5">
        <f>(25/18)*H18</f>
        <v>0</v>
      </c>
      <c r="J16" s="4"/>
      <c r="K16" s="5">
        <f>(25/18)*J18</f>
        <v>0</v>
      </c>
      <c r="L16" s="13"/>
      <c r="M16" s="20"/>
      <c r="N16" s="21"/>
    </row>
    <row r="17" spans="1:14" ht="20.25" customHeight="1" x14ac:dyDescent="0.25">
      <c r="A17" s="3"/>
      <c r="B17" s="6"/>
      <c r="C17" s="7"/>
      <c r="D17" s="9"/>
      <c r="E17" s="7"/>
      <c r="F17" s="9"/>
      <c r="G17" s="7"/>
      <c r="H17" s="6"/>
      <c r="I17" s="7"/>
      <c r="J17" s="6"/>
      <c r="K17" s="7"/>
      <c r="L17" s="13"/>
      <c r="M17" s="20">
        <v>0</v>
      </c>
      <c r="N17" s="21"/>
    </row>
    <row r="18" spans="1:14" x14ac:dyDescent="0.25">
      <c r="A18" s="3"/>
      <c r="B18" s="11">
        <v>0</v>
      </c>
      <c r="C18" s="10"/>
      <c r="D18" s="11">
        <v>0</v>
      </c>
      <c r="E18" s="10"/>
      <c r="F18" s="11">
        <v>0</v>
      </c>
      <c r="G18" s="10"/>
      <c r="H18" s="11">
        <v>0</v>
      </c>
      <c r="I18" s="10"/>
      <c r="J18" s="11">
        <v>0</v>
      </c>
      <c r="K18" s="10"/>
      <c r="L18" s="13"/>
      <c r="M18" s="20"/>
      <c r="N18" s="21"/>
    </row>
    <row r="19" spans="1:14" x14ac:dyDescent="0.25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20"/>
      <c r="N19" s="21"/>
    </row>
    <row r="20" spans="1:14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0"/>
      <c r="N20" s="21"/>
    </row>
    <row r="21" spans="1:14" ht="15.75" thickBot="1" x14ac:dyDescent="0.3">
      <c r="A21" s="15" t="s">
        <v>1</v>
      </c>
      <c r="B21" s="25">
        <v>100</v>
      </c>
      <c r="C21" s="16"/>
      <c r="D21" s="25">
        <v>200</v>
      </c>
      <c r="E21" s="16"/>
      <c r="F21" s="25">
        <v>150</v>
      </c>
      <c r="G21" s="16"/>
      <c r="H21" s="25">
        <v>160</v>
      </c>
      <c r="I21" s="16"/>
      <c r="J21" s="25">
        <v>140</v>
      </c>
      <c r="K21" s="16"/>
      <c r="L21" s="17"/>
      <c r="M21" s="22"/>
      <c r="N21" s="23"/>
    </row>
    <row r="22" spans="1:14" x14ac:dyDescent="0.25">
      <c r="B22">
        <v>0</v>
      </c>
      <c r="D22">
        <v>0</v>
      </c>
      <c r="F22" s="28">
        <v>50</v>
      </c>
      <c r="H22">
        <v>10</v>
      </c>
      <c r="J22">
        <v>0</v>
      </c>
    </row>
    <row r="23" spans="1:14" x14ac:dyDescent="0.25">
      <c r="D23" s="13"/>
      <c r="F23" s="13">
        <v>0</v>
      </c>
      <c r="H23" s="13">
        <v>0</v>
      </c>
      <c r="J23" s="13">
        <v>0</v>
      </c>
    </row>
    <row r="25" spans="1:14" ht="15.75" thickBot="1" x14ac:dyDescent="0.3"/>
    <row r="26" spans="1:14" ht="19.5" thickBot="1" x14ac:dyDescent="0.35">
      <c r="C26" s="41" t="s">
        <v>12</v>
      </c>
      <c r="D26" s="42">
        <f>C4+E4+G4+G7+I7+I10+K10</f>
        <v>1187.5</v>
      </c>
    </row>
  </sheetData>
  <mergeCells count="11">
    <mergeCell ref="A4:A6"/>
    <mergeCell ref="A7:A9"/>
    <mergeCell ref="A10:A12"/>
    <mergeCell ref="A13:A15"/>
    <mergeCell ref="A16:A18"/>
    <mergeCell ref="B3:C3"/>
    <mergeCell ref="D3:E3"/>
    <mergeCell ref="F3:G3"/>
    <mergeCell ref="H3:I3"/>
    <mergeCell ref="J3:K3"/>
    <mergeCell ref="M3:N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A024-0D6A-4266-A5A1-F65BDC7A2EF5}">
  <dimension ref="A1:O26"/>
  <sheetViews>
    <sheetView topLeftCell="A9" workbookViewId="0">
      <selection activeCell="D26" sqref="D26:E26"/>
    </sheetView>
  </sheetViews>
  <sheetFormatPr baseColWidth="10" defaultRowHeight="15" x14ac:dyDescent="0.25"/>
  <cols>
    <col min="13" max="14" width="6.710937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x14ac:dyDescent="0.25">
      <c r="A3" s="1"/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12"/>
      <c r="M3" s="18" t="s">
        <v>0</v>
      </c>
      <c r="N3" s="19"/>
    </row>
    <row r="4" spans="1:15" x14ac:dyDescent="0.25">
      <c r="A4" s="3" t="s">
        <v>7</v>
      </c>
      <c r="B4" s="4"/>
      <c r="C4" s="24">
        <f>(25/18)*B6</f>
        <v>138.88888888888889</v>
      </c>
      <c r="D4" s="4"/>
      <c r="E4" s="24">
        <f>(25/18)*D6</f>
        <v>208.33333333333331</v>
      </c>
      <c r="F4" s="4"/>
      <c r="G4" s="24">
        <f>(25/18)*F6</f>
        <v>277.77777777777777</v>
      </c>
      <c r="H4" s="4"/>
      <c r="I4" s="24">
        <f>(25/18)*H6</f>
        <v>194.44444444444443</v>
      </c>
      <c r="J4" s="31"/>
      <c r="K4" s="32">
        <f>(25/18)*J6</f>
        <v>48.611111111111107</v>
      </c>
      <c r="L4" s="13"/>
      <c r="M4" s="20"/>
      <c r="N4" s="21"/>
    </row>
    <row r="5" spans="1:15" ht="20.25" customHeight="1" x14ac:dyDescent="0.25">
      <c r="A5" s="3"/>
      <c r="B5" s="6"/>
      <c r="C5" s="7"/>
      <c r="D5" s="6"/>
      <c r="E5" s="8"/>
      <c r="F5" s="9"/>
      <c r="G5" s="7"/>
      <c r="H5" s="9"/>
      <c r="I5" s="7"/>
      <c r="J5" s="39"/>
      <c r="K5" s="34"/>
      <c r="L5" s="13"/>
      <c r="M5" s="20">
        <v>400</v>
      </c>
      <c r="N5" s="21">
        <f>M5-140</f>
        <v>260</v>
      </c>
      <c r="O5">
        <f>N5-I6-G6-E6</f>
        <v>100</v>
      </c>
    </row>
    <row r="6" spans="1:15" ht="23.25" x14ac:dyDescent="0.35">
      <c r="A6" s="3"/>
      <c r="B6" s="1">
        <v>100</v>
      </c>
      <c r="C6" s="40">
        <v>100</v>
      </c>
      <c r="D6" s="11">
        <v>150</v>
      </c>
      <c r="E6" s="40">
        <v>50</v>
      </c>
      <c r="F6" s="11">
        <v>200</v>
      </c>
      <c r="G6" s="40">
        <v>50</v>
      </c>
      <c r="H6" s="11">
        <v>140</v>
      </c>
      <c r="I6" s="40">
        <v>60</v>
      </c>
      <c r="J6" s="38">
        <v>35</v>
      </c>
      <c r="K6" s="40">
        <v>140</v>
      </c>
      <c r="L6" s="13"/>
      <c r="M6" s="20"/>
      <c r="N6" s="21"/>
    </row>
    <row r="7" spans="1:15" x14ac:dyDescent="0.25">
      <c r="A7" s="3" t="s">
        <v>8</v>
      </c>
      <c r="B7" s="4"/>
      <c r="C7" s="24">
        <f>(25/18)*B9</f>
        <v>69.444444444444443</v>
      </c>
      <c r="D7" s="4"/>
      <c r="E7" s="24">
        <f>(25/18)*D9</f>
        <v>97.222222222222214</v>
      </c>
      <c r="F7" s="4"/>
      <c r="G7" s="24">
        <f>(25/18)*F9</f>
        <v>83.333333333333329</v>
      </c>
      <c r="H7" s="4"/>
      <c r="I7" s="24">
        <f>(25/18)*H9</f>
        <v>90.277777777777771</v>
      </c>
      <c r="J7" s="4"/>
      <c r="K7" s="24">
        <f>(25/18)*J9</f>
        <v>111.11111111111111</v>
      </c>
      <c r="L7" s="13"/>
      <c r="M7" s="20"/>
      <c r="N7" s="21"/>
    </row>
    <row r="8" spans="1:15" ht="20.25" customHeight="1" x14ac:dyDescent="0.25">
      <c r="A8" s="3"/>
      <c r="B8" s="9"/>
      <c r="C8" s="7"/>
      <c r="D8" s="6"/>
      <c r="E8" s="7"/>
      <c r="F8" s="6"/>
      <c r="G8" s="7"/>
      <c r="H8" s="6"/>
      <c r="I8" s="7"/>
      <c r="J8" s="6"/>
      <c r="K8" s="7"/>
      <c r="L8" s="13"/>
      <c r="M8" s="26">
        <v>200</v>
      </c>
      <c r="N8" s="29">
        <v>100</v>
      </c>
      <c r="O8" s="28">
        <v>0</v>
      </c>
    </row>
    <row r="9" spans="1:15" ht="23.25" x14ac:dyDescent="0.35">
      <c r="A9" s="3"/>
      <c r="B9" s="11">
        <v>50</v>
      </c>
      <c r="C9" s="7"/>
      <c r="D9" s="11">
        <v>70</v>
      </c>
      <c r="E9" s="10"/>
      <c r="F9" s="11">
        <v>60</v>
      </c>
      <c r="G9" s="40">
        <v>100</v>
      </c>
      <c r="H9" s="11">
        <v>65</v>
      </c>
      <c r="I9" s="40">
        <v>100</v>
      </c>
      <c r="J9" s="11">
        <v>80</v>
      </c>
      <c r="K9" s="10"/>
      <c r="L9" s="13"/>
      <c r="M9" s="20"/>
      <c r="N9" s="21"/>
    </row>
    <row r="10" spans="1:15" x14ac:dyDescent="0.25">
      <c r="A10" s="3" t="s">
        <v>9</v>
      </c>
      <c r="B10" s="4"/>
      <c r="C10" s="24">
        <f>(25/18)*B12</f>
        <v>55.555555555555557</v>
      </c>
      <c r="D10" s="4"/>
      <c r="E10" s="24">
        <f>(25/18)*D12</f>
        <v>125</v>
      </c>
      <c r="F10" s="4"/>
      <c r="G10" s="24">
        <f>(25/18)*F12</f>
        <v>138.88888888888889</v>
      </c>
      <c r="H10" s="4"/>
      <c r="I10" s="24">
        <f>(25/18)*H12</f>
        <v>208.33333333333331</v>
      </c>
      <c r="J10" s="4"/>
      <c r="K10" s="24">
        <f>(25/18)*J12</f>
        <v>180.55555555555554</v>
      </c>
      <c r="L10" s="13"/>
      <c r="M10" s="20"/>
      <c r="N10" s="21"/>
    </row>
    <row r="11" spans="1:15" ht="20.25" customHeight="1" x14ac:dyDescent="0.25">
      <c r="A11" s="3"/>
      <c r="B11" s="6"/>
      <c r="C11" s="7"/>
      <c r="D11" s="9"/>
      <c r="E11" s="7"/>
      <c r="F11" s="9"/>
      <c r="G11" s="7"/>
      <c r="H11" s="6"/>
      <c r="I11" s="7"/>
      <c r="J11" s="6"/>
      <c r="K11" s="7"/>
      <c r="L11" s="13"/>
      <c r="M11" s="26">
        <v>150</v>
      </c>
      <c r="N11" s="29"/>
      <c r="O11" s="28">
        <v>0</v>
      </c>
    </row>
    <row r="12" spans="1:15" ht="23.25" x14ac:dyDescent="0.35">
      <c r="A12" s="3"/>
      <c r="B12" s="11">
        <v>40</v>
      </c>
      <c r="C12" s="10"/>
      <c r="D12" s="11">
        <v>90</v>
      </c>
      <c r="E12" s="40">
        <v>150</v>
      </c>
      <c r="F12" s="11">
        <v>100</v>
      </c>
      <c r="G12" s="10"/>
      <c r="H12" s="11">
        <v>150</v>
      </c>
      <c r="I12" s="10"/>
      <c r="J12" s="11">
        <v>130</v>
      </c>
      <c r="K12" s="10"/>
      <c r="L12" s="13"/>
      <c r="M12" s="20"/>
      <c r="N12" s="21"/>
    </row>
    <row r="13" spans="1:15" x14ac:dyDescent="0.25">
      <c r="A13" s="3" t="s">
        <v>10</v>
      </c>
      <c r="B13" s="4"/>
      <c r="C13" s="5">
        <f>(25/18)*B15</f>
        <v>0</v>
      </c>
      <c r="D13" s="4"/>
      <c r="E13" s="5">
        <f>(25/18)*D15</f>
        <v>0</v>
      </c>
      <c r="F13" s="4"/>
      <c r="G13" s="5">
        <f>(25/18)*F15</f>
        <v>0</v>
      </c>
      <c r="H13" s="4"/>
      <c r="I13" s="5">
        <f>(25/18)*H15</f>
        <v>0</v>
      </c>
      <c r="J13" s="4"/>
      <c r="K13" s="5">
        <f>(25/18)*J15</f>
        <v>0</v>
      </c>
      <c r="L13" s="13"/>
      <c r="M13" s="20"/>
      <c r="N13" s="21"/>
    </row>
    <row r="14" spans="1:15" ht="20.25" customHeight="1" x14ac:dyDescent="0.25">
      <c r="A14" s="3"/>
      <c r="B14" s="6"/>
      <c r="C14" s="7"/>
      <c r="D14" s="9"/>
      <c r="E14" s="7"/>
      <c r="F14" s="9"/>
      <c r="G14" s="7"/>
      <c r="H14" s="6"/>
      <c r="I14" s="7"/>
      <c r="J14" s="6"/>
      <c r="K14" s="7"/>
      <c r="L14" s="13"/>
      <c r="M14" s="20">
        <v>0</v>
      </c>
      <c r="N14" s="21"/>
    </row>
    <row r="15" spans="1:15" x14ac:dyDescent="0.25">
      <c r="A15" s="3"/>
      <c r="B15" s="11">
        <v>0</v>
      </c>
      <c r="C15" s="10"/>
      <c r="D15" s="11">
        <v>0</v>
      </c>
      <c r="E15" s="10"/>
      <c r="F15" s="11">
        <v>0</v>
      </c>
      <c r="G15" s="10"/>
      <c r="H15" s="11">
        <v>0</v>
      </c>
      <c r="I15" s="10"/>
      <c r="J15" s="11">
        <v>0</v>
      </c>
      <c r="K15" s="10"/>
      <c r="L15" s="13"/>
      <c r="M15" s="20"/>
      <c r="N15" s="21"/>
    </row>
    <row r="16" spans="1:15" x14ac:dyDescent="0.25">
      <c r="A16" s="3" t="s">
        <v>11</v>
      </c>
      <c r="B16" s="4"/>
      <c r="C16" s="5">
        <f>(25/18)*B18</f>
        <v>0</v>
      </c>
      <c r="D16" s="4"/>
      <c r="E16" s="5">
        <f>(25/18)*D18</f>
        <v>0</v>
      </c>
      <c r="F16" s="4"/>
      <c r="G16" s="5">
        <f>(25/18)*F18</f>
        <v>0</v>
      </c>
      <c r="H16" s="4"/>
      <c r="I16" s="5">
        <f>(25/18)*H18</f>
        <v>0</v>
      </c>
      <c r="J16" s="4"/>
      <c r="K16" s="5">
        <f>(25/18)*J18</f>
        <v>0</v>
      </c>
      <c r="L16" s="13"/>
      <c r="M16" s="20"/>
      <c r="N16" s="21"/>
    </row>
    <row r="17" spans="1:14" ht="20.25" customHeight="1" x14ac:dyDescent="0.25">
      <c r="A17" s="3"/>
      <c r="B17" s="6"/>
      <c r="C17" s="7"/>
      <c r="D17" s="9"/>
      <c r="E17" s="7"/>
      <c r="F17" s="9"/>
      <c r="G17" s="7"/>
      <c r="H17" s="6"/>
      <c r="I17" s="7"/>
      <c r="J17" s="6"/>
      <c r="K17" s="7"/>
      <c r="L17" s="13"/>
      <c r="M17" s="20">
        <v>0</v>
      </c>
      <c r="N17" s="21"/>
    </row>
    <row r="18" spans="1:14" x14ac:dyDescent="0.25">
      <c r="A18" s="3"/>
      <c r="B18" s="11">
        <v>0</v>
      </c>
      <c r="C18" s="10"/>
      <c r="D18" s="11">
        <v>0</v>
      </c>
      <c r="E18" s="10"/>
      <c r="F18" s="11">
        <v>0</v>
      </c>
      <c r="G18" s="10"/>
      <c r="H18" s="11">
        <v>0</v>
      </c>
      <c r="I18" s="10"/>
      <c r="J18" s="11">
        <v>0</v>
      </c>
      <c r="K18" s="10"/>
      <c r="L18" s="13"/>
      <c r="M18" s="20"/>
      <c r="N18" s="21"/>
    </row>
    <row r="19" spans="1:14" x14ac:dyDescent="0.25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20"/>
      <c r="N19" s="21"/>
    </row>
    <row r="20" spans="1:14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0"/>
      <c r="N20" s="21"/>
    </row>
    <row r="21" spans="1:14" ht="15.75" thickBot="1" x14ac:dyDescent="0.3">
      <c r="A21" s="15" t="s">
        <v>1</v>
      </c>
      <c r="B21" s="25">
        <v>100</v>
      </c>
      <c r="C21" s="16"/>
      <c r="D21" s="25">
        <v>200</v>
      </c>
      <c r="E21" s="16"/>
      <c r="F21" s="16">
        <v>150</v>
      </c>
      <c r="G21" s="16"/>
      <c r="H21" s="16">
        <v>160</v>
      </c>
      <c r="I21" s="16"/>
      <c r="J21" s="25">
        <v>140</v>
      </c>
      <c r="K21" s="16"/>
      <c r="L21" s="17"/>
      <c r="M21" s="22"/>
      <c r="N21" s="23"/>
    </row>
    <row r="22" spans="1:14" x14ac:dyDescent="0.25">
      <c r="B22" s="28">
        <v>0</v>
      </c>
      <c r="D22" s="28">
        <v>150</v>
      </c>
      <c r="F22">
        <v>50</v>
      </c>
      <c r="H22">
        <v>60</v>
      </c>
      <c r="J22" s="28">
        <v>0</v>
      </c>
    </row>
    <row r="23" spans="1:14" x14ac:dyDescent="0.25">
      <c r="D23" s="30">
        <v>50</v>
      </c>
    </row>
    <row r="25" spans="1:14" ht="15.75" thickBot="1" x14ac:dyDescent="0.3"/>
    <row r="26" spans="1:14" ht="21.75" thickBot="1" x14ac:dyDescent="0.4">
      <c r="D26" s="43" t="s">
        <v>13</v>
      </c>
      <c r="E26" s="44">
        <f>C4+E4+E10+G4+G7+I4+I7+K4</f>
        <v>1166.6666666666667</v>
      </c>
    </row>
  </sheetData>
  <mergeCells count="11">
    <mergeCell ref="A7:A9"/>
    <mergeCell ref="A10:A12"/>
    <mergeCell ref="J3:K3"/>
    <mergeCell ref="A13:A15"/>
    <mergeCell ref="A16:A18"/>
    <mergeCell ref="B3:C3"/>
    <mergeCell ref="D3:E3"/>
    <mergeCell ref="F3:G3"/>
    <mergeCell ref="H3:I3"/>
    <mergeCell ref="M3:N3"/>
    <mergeCell ref="A4:A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LITERAL A PREGUNTA2</vt:lpstr>
      <vt:lpstr>ESQUINA NORESTE</vt:lpstr>
      <vt:lpstr>COSTO MINIMO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Enrique Vasquez Menjivar</dc:creator>
  <cp:lastModifiedBy>Luis Enrique Vasquez Menjivar</cp:lastModifiedBy>
  <dcterms:created xsi:type="dcterms:W3CDTF">2026-05-26T02:55:32Z</dcterms:created>
  <dcterms:modified xsi:type="dcterms:W3CDTF">2026-05-26T04:34:59Z</dcterms:modified>
</cp:coreProperties>
</file>