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i\OneDrive\Escritorio\UES-2026\"/>
    </mc:Choice>
  </mc:AlternateContent>
  <xr:revisionPtr revIDLastSave="0" documentId="13_ncr:1_{3AA188EA-9CF0-467C-9953-FE3E81B45420}" xr6:coauthVersionLast="47" xr6:coauthVersionMax="47" xr10:uidLastSave="{00000000-0000-0000-0000-000000000000}"/>
  <bookViews>
    <workbookView xWindow="-120" yWindow="-120" windowWidth="29040" windowHeight="15720" tabRatio="404" xr2:uid="{00000000-000D-0000-FFFF-FFFF00000000}"/>
  </bookViews>
  <sheets>
    <sheet name="Actual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3" i="11" l="1"/>
  <c r="AH21" i="11"/>
  <c r="AH20" i="11"/>
  <c r="AH17" i="11"/>
  <c r="AH15" i="11"/>
  <c r="AH14" i="11"/>
  <c r="AH9" i="11"/>
  <c r="AH11" i="11"/>
  <c r="AH8" i="11"/>
</calcChain>
</file>

<file path=xl/sharedStrings.xml><?xml version="1.0" encoding="utf-8"?>
<sst xmlns="http://schemas.openxmlformats.org/spreadsheetml/2006/main" count="194" uniqueCount="171">
  <si>
    <t>MTE115</t>
  </si>
  <si>
    <t>Métodos experimentales</t>
  </si>
  <si>
    <t>Bachillerato</t>
  </si>
  <si>
    <t>MAT115</t>
  </si>
  <si>
    <t>I</t>
  </si>
  <si>
    <t>IAI115</t>
  </si>
  <si>
    <t>Introducción a la Informática</t>
  </si>
  <si>
    <t>PSI115</t>
  </si>
  <si>
    <t>Psicologia Social</t>
  </si>
  <si>
    <t>II</t>
  </si>
  <si>
    <t>FIR115</t>
  </si>
  <si>
    <t>Física I</t>
  </si>
  <si>
    <t>MAT215</t>
  </si>
  <si>
    <t>Matematicas II</t>
  </si>
  <si>
    <t>Matematicas I</t>
  </si>
  <si>
    <t>PRN115</t>
  </si>
  <si>
    <t>Programación I</t>
  </si>
  <si>
    <t>MSM115</t>
  </si>
  <si>
    <t>Manejo de Software para Microcomputadoras</t>
  </si>
  <si>
    <t>Historia Social y Económica de El Salvador y C.A.</t>
  </si>
  <si>
    <t>1,2</t>
  </si>
  <si>
    <t>FIR215</t>
  </si>
  <si>
    <t>Física II</t>
  </si>
  <si>
    <t>Matematicas III</t>
  </si>
  <si>
    <t>MAT315</t>
  </si>
  <si>
    <t>PRN215</t>
  </si>
  <si>
    <t>Programación II</t>
  </si>
  <si>
    <t>5,6</t>
  </si>
  <si>
    <t>PYE115</t>
  </si>
  <si>
    <t>Probabilidad y Estadística</t>
  </si>
  <si>
    <t>6,9</t>
  </si>
  <si>
    <t>III</t>
  </si>
  <si>
    <t>IV</t>
  </si>
  <si>
    <t>V</t>
  </si>
  <si>
    <t>FIR315</t>
  </si>
  <si>
    <t>Física III</t>
  </si>
  <si>
    <t>MAT415</t>
  </si>
  <si>
    <t>Matematicas IV</t>
  </si>
  <si>
    <t>ESD115</t>
  </si>
  <si>
    <t>Estructuras de Datos</t>
  </si>
  <si>
    <t>PRN315</t>
  </si>
  <si>
    <t>Programación III</t>
  </si>
  <si>
    <t>Métodos Probabilísticos</t>
  </si>
  <si>
    <t>7,15</t>
  </si>
  <si>
    <t>Sistemas Digitales</t>
  </si>
  <si>
    <t>SDU115</t>
  </si>
  <si>
    <t>9,17</t>
  </si>
  <si>
    <t>7,16</t>
  </si>
  <si>
    <t>Análisis Numérico</t>
  </si>
  <si>
    <t>ANS115</t>
  </si>
  <si>
    <t>HDP115</t>
  </si>
  <si>
    <t>Herramientas de Productividad</t>
  </si>
  <si>
    <t>SYP115</t>
  </si>
  <si>
    <t>Sistemas y Procedimientos</t>
  </si>
  <si>
    <t>MOP115</t>
  </si>
  <si>
    <t>MEP115</t>
  </si>
  <si>
    <t>Métodos de Optimización</t>
  </si>
  <si>
    <t>VI</t>
  </si>
  <si>
    <t>Arquitectura de Computadoras</t>
  </si>
  <si>
    <t>20,21</t>
  </si>
  <si>
    <t>Técnica Eléctiva I</t>
  </si>
  <si>
    <t>ARC115</t>
  </si>
  <si>
    <t>SIC115</t>
  </si>
  <si>
    <t>Sistemas Contables</t>
  </si>
  <si>
    <t>IEC115</t>
  </si>
  <si>
    <t>TSI115</t>
  </si>
  <si>
    <t>Teoría de sistemas</t>
  </si>
  <si>
    <t>Técnica Eléctiva II</t>
  </si>
  <si>
    <t>Microprogramación</t>
  </si>
  <si>
    <t>MIP115</t>
  </si>
  <si>
    <t>VII</t>
  </si>
  <si>
    <t>Análisis Financiero</t>
  </si>
  <si>
    <t>ANF115</t>
  </si>
  <si>
    <t>VIII</t>
  </si>
  <si>
    <t>Teoría Administrativa</t>
  </si>
  <si>
    <t>Diseño de Sistemas I</t>
  </si>
  <si>
    <t>Técnica Eléctiva III</t>
  </si>
  <si>
    <t>Comunicaciones I</t>
  </si>
  <si>
    <t>COS115</t>
  </si>
  <si>
    <t>SIO115</t>
  </si>
  <si>
    <t>Sistemas Operativos</t>
  </si>
  <si>
    <t>27,29</t>
  </si>
  <si>
    <t>Técnica Eléctiva IV</t>
  </si>
  <si>
    <t>Diseño de Sistemas II</t>
  </si>
  <si>
    <t>DSI115</t>
  </si>
  <si>
    <t>28,32</t>
  </si>
  <si>
    <t>IX</t>
  </si>
  <si>
    <t>LPR115</t>
  </si>
  <si>
    <t>Legislación Profesional</t>
  </si>
  <si>
    <t>120 U.V.</t>
  </si>
  <si>
    <t>150 U.V.</t>
  </si>
  <si>
    <t>CPR115</t>
  </si>
  <si>
    <t>Consultoría Profesional</t>
  </si>
  <si>
    <t>RHU115</t>
  </si>
  <si>
    <t>Recursos Humanos</t>
  </si>
  <si>
    <t>ACC115</t>
  </si>
  <si>
    <t>Administración de Centros de Cómputo</t>
  </si>
  <si>
    <t>41,42,43</t>
  </si>
  <si>
    <t>BAD115</t>
  </si>
  <si>
    <t>Bases de Datos</t>
  </si>
  <si>
    <t>36,38</t>
  </si>
  <si>
    <t>SGI115</t>
  </si>
  <si>
    <t>Sistemas de Información Gerencial</t>
  </si>
  <si>
    <t>Técnica Eléctiva V</t>
  </si>
  <si>
    <t>Administración de Proyectos Informáticos</t>
  </si>
  <si>
    <t>37,43</t>
  </si>
  <si>
    <t>X</t>
  </si>
  <si>
    <t>T</t>
  </si>
  <si>
    <t>R</t>
  </si>
  <si>
    <t>A</t>
  </si>
  <si>
    <t>B</t>
  </si>
  <si>
    <t>J</t>
  </si>
  <si>
    <t>O</t>
  </si>
  <si>
    <t>D</t>
  </si>
  <si>
    <t>E</t>
  </si>
  <si>
    <t>G</t>
  </si>
  <si>
    <t>U</t>
  </si>
  <si>
    <t>C</t>
  </si>
  <si>
    <t>N</t>
  </si>
  <si>
    <t>Ó</t>
  </si>
  <si>
    <t>Técnicas Eléctivas</t>
  </si>
  <si>
    <t>Ofertadas</t>
  </si>
  <si>
    <t>TPI115</t>
  </si>
  <si>
    <t>Técnicas de Programación para Internet</t>
  </si>
  <si>
    <t>IGF115</t>
  </si>
  <si>
    <t>Ingeniería de Software</t>
  </si>
  <si>
    <t>TOO15</t>
  </si>
  <si>
    <t>Tecnología Orientada a Objetos</t>
  </si>
  <si>
    <t>IBD15</t>
  </si>
  <si>
    <t>Implementación de Bases de Datos</t>
  </si>
  <si>
    <t>TDS15</t>
  </si>
  <si>
    <t>Técnicas de Simulación</t>
  </si>
  <si>
    <t>COS215</t>
  </si>
  <si>
    <t>Comunicaciones II</t>
  </si>
  <si>
    <t>Seguridad Informática</t>
  </si>
  <si>
    <t>CET115</t>
  </si>
  <si>
    <t>Comercio Electrónico</t>
  </si>
  <si>
    <t>Auditoría de Sistemas</t>
  </si>
  <si>
    <t>Sistemas de Información Geográficos</t>
  </si>
  <si>
    <t>Programación para Dispositivos Móviles</t>
  </si>
  <si>
    <t>XI</t>
  </si>
  <si>
    <t xml:space="preserve">UNIVERSIDAD DE EL SALVADOR </t>
  </si>
  <si>
    <t xml:space="preserve"> FACULTAD DE INGENIERIA Y ARQUITECTURA </t>
  </si>
  <si>
    <t>CARRERA: INGENIERIA DE SISTEMAS INFORMÁTICOS</t>
  </si>
  <si>
    <t>FDE115</t>
  </si>
  <si>
    <t>Fundamentos de Economía</t>
  </si>
  <si>
    <t>Ingenieria Económica</t>
  </si>
  <si>
    <t>TAD115</t>
  </si>
  <si>
    <t>API115</t>
  </si>
  <si>
    <t>Técnica Eléctiva VI</t>
  </si>
  <si>
    <t>P</t>
  </si>
  <si>
    <t>I,II,III</t>
  </si>
  <si>
    <t>17,18</t>
  </si>
  <si>
    <t>24,29</t>
  </si>
  <si>
    <t>35,38</t>
  </si>
  <si>
    <t>F</t>
  </si>
  <si>
    <t>H</t>
  </si>
  <si>
    <t>K</t>
  </si>
  <si>
    <t>L</t>
  </si>
  <si>
    <t>33,A</t>
  </si>
  <si>
    <t>33,22</t>
  </si>
  <si>
    <t>18,22</t>
  </si>
  <si>
    <t>TDS115</t>
  </si>
  <si>
    <t>SIF115</t>
  </si>
  <si>
    <t>SGG115</t>
  </si>
  <si>
    <t>PDM115</t>
  </si>
  <si>
    <t>AUS115</t>
  </si>
  <si>
    <t>EBB115</t>
  </si>
  <si>
    <t>Sistemas Embebidos I</t>
  </si>
  <si>
    <t>22,26</t>
  </si>
  <si>
    <t xml:space="preserve">PLAN DE ESTUDIOS ACTUÁL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</si>
</sst>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799C"/>
        <bgColor indexed="64"/>
      </patternFill>
    </fill>
    <fill>
      <patternFill patternType="solid">
        <fgColor rgb="FFA5A5A5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1">
    <xf numFmtId="0" fontId="0" fillId="0" borderId="0" xfId="0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5" fillId="2" borderId="0" xfId="0" applyFont="1" applyFill="1"/>
    <xf numFmtId="0" fontId="0" fillId="2" borderId="25" xfId="0" applyFill="1" applyBorder="1"/>
    <xf numFmtId="0" fontId="3" fillId="2" borderId="0" xfId="0" applyFont="1" applyFill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7" fillId="2" borderId="22" xfId="0" applyFont="1" applyFill="1" applyBorder="1"/>
    <xf numFmtId="0" fontId="7" fillId="2" borderId="27" xfId="0" applyFont="1" applyFill="1" applyBorder="1"/>
    <xf numFmtId="0" fontId="1" fillId="2" borderId="0" xfId="0" applyFont="1" applyFill="1" applyAlignment="1">
      <alignment horizontal="center"/>
    </xf>
    <xf numFmtId="0" fontId="9" fillId="2" borderId="22" xfId="0" applyFont="1" applyFill="1" applyBorder="1"/>
    <xf numFmtId="0" fontId="9" fillId="2" borderId="27" xfId="0" applyFont="1" applyFill="1" applyBorder="1"/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9" fillId="2" borderId="0" xfId="0" applyFont="1" applyFill="1"/>
    <xf numFmtId="9" fontId="0" fillId="0" borderId="0" xfId="1" applyFont="1"/>
    <xf numFmtId="2" fontId="0" fillId="0" borderId="0" xfId="1" applyNumberFormat="1" applyFont="1"/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7F0400"/>
      <color rgb="FF01799C"/>
      <color rgb="FFA5A5A5"/>
      <color rgb="FFF5726F"/>
      <color rgb="FF990000"/>
      <color rgb="FFA50021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0</xdr:row>
      <xdr:rowOff>66675</xdr:rowOff>
    </xdr:from>
    <xdr:to>
      <xdr:col>11</xdr:col>
      <xdr:colOff>95250</xdr:colOff>
      <xdr:row>5</xdr:row>
      <xdr:rowOff>156689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B8FA2-4858-455C-A03F-0CB9D01E9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66675"/>
          <a:ext cx="2190750" cy="1233014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0</xdr:col>
      <xdr:colOff>361950</xdr:colOff>
      <xdr:row>8</xdr:row>
      <xdr:rowOff>76200</xdr:rowOff>
    </xdr:from>
    <xdr:to>
      <xdr:col>3</xdr:col>
      <xdr:colOff>38100</xdr:colOff>
      <xdr:row>12</xdr:row>
      <xdr:rowOff>190500</xdr:rowOff>
    </xdr:to>
    <xdr:sp macro="" textlink="">
      <xdr:nvSpPr>
        <xdr:cNvPr id="5" name="Signo de multiplicación 4">
          <a:extLst>
            <a:ext uri="{FF2B5EF4-FFF2-40B4-BE49-F238E27FC236}">
              <a16:creationId xmlns:a16="http://schemas.microsoft.com/office/drawing/2014/main" id="{FA82A754-9BAE-38FA-BE25-BB1826203499}"/>
            </a:ext>
          </a:extLst>
        </xdr:cNvPr>
        <xdr:cNvSpPr/>
      </xdr:nvSpPr>
      <xdr:spPr>
        <a:xfrm>
          <a:off x="361950" y="180022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400050</xdr:colOff>
      <xdr:row>14</xdr:row>
      <xdr:rowOff>171450</xdr:rowOff>
    </xdr:from>
    <xdr:to>
      <xdr:col>3</xdr:col>
      <xdr:colOff>76200</xdr:colOff>
      <xdr:row>19</xdr:row>
      <xdr:rowOff>85725</xdr:rowOff>
    </xdr:to>
    <xdr:sp macro="" textlink="">
      <xdr:nvSpPr>
        <xdr:cNvPr id="6" name="Signo de multiplicación 5">
          <a:extLst>
            <a:ext uri="{FF2B5EF4-FFF2-40B4-BE49-F238E27FC236}">
              <a16:creationId xmlns:a16="http://schemas.microsoft.com/office/drawing/2014/main" id="{95370706-2164-4AC8-B0DA-45552AFE3A0B}"/>
            </a:ext>
          </a:extLst>
        </xdr:cNvPr>
        <xdr:cNvSpPr/>
      </xdr:nvSpPr>
      <xdr:spPr>
        <a:xfrm>
          <a:off x="400050" y="307657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400050</xdr:colOff>
      <xdr:row>20</xdr:row>
      <xdr:rowOff>180975</xdr:rowOff>
    </xdr:from>
    <xdr:to>
      <xdr:col>3</xdr:col>
      <xdr:colOff>76200</xdr:colOff>
      <xdr:row>25</xdr:row>
      <xdr:rowOff>95250</xdr:rowOff>
    </xdr:to>
    <xdr:sp macro="" textlink="">
      <xdr:nvSpPr>
        <xdr:cNvPr id="7" name="Signo de multiplicación 6">
          <a:extLst>
            <a:ext uri="{FF2B5EF4-FFF2-40B4-BE49-F238E27FC236}">
              <a16:creationId xmlns:a16="http://schemas.microsoft.com/office/drawing/2014/main" id="{17C914F6-B67F-446B-8936-7F08DE4294FF}"/>
            </a:ext>
          </a:extLst>
        </xdr:cNvPr>
        <xdr:cNvSpPr/>
      </xdr:nvSpPr>
      <xdr:spPr>
        <a:xfrm>
          <a:off x="400050" y="4267200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400050</xdr:colOff>
      <xdr:row>26</xdr:row>
      <xdr:rowOff>142875</xdr:rowOff>
    </xdr:from>
    <xdr:to>
      <xdr:col>3</xdr:col>
      <xdr:colOff>76200</xdr:colOff>
      <xdr:row>31</xdr:row>
      <xdr:rowOff>57150</xdr:rowOff>
    </xdr:to>
    <xdr:sp macro="" textlink="">
      <xdr:nvSpPr>
        <xdr:cNvPr id="8" name="Signo de multiplicación 7">
          <a:extLst>
            <a:ext uri="{FF2B5EF4-FFF2-40B4-BE49-F238E27FC236}">
              <a16:creationId xmlns:a16="http://schemas.microsoft.com/office/drawing/2014/main" id="{674FC20B-0E51-4106-802C-370EE018D8F2}"/>
            </a:ext>
          </a:extLst>
        </xdr:cNvPr>
        <xdr:cNvSpPr/>
      </xdr:nvSpPr>
      <xdr:spPr>
        <a:xfrm>
          <a:off x="400050" y="5410200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114300</xdr:colOff>
      <xdr:row>32</xdr:row>
      <xdr:rowOff>114300</xdr:rowOff>
    </xdr:from>
    <xdr:to>
      <xdr:col>6</xdr:col>
      <xdr:colOff>66675</xdr:colOff>
      <xdr:row>37</xdr:row>
      <xdr:rowOff>28575</xdr:rowOff>
    </xdr:to>
    <xdr:sp macro="" textlink="">
      <xdr:nvSpPr>
        <xdr:cNvPr id="9" name="Signo de multiplicación 8">
          <a:extLst>
            <a:ext uri="{FF2B5EF4-FFF2-40B4-BE49-F238E27FC236}">
              <a16:creationId xmlns:a16="http://schemas.microsoft.com/office/drawing/2014/main" id="{AEA779AF-FD4C-40D6-92AA-5AD9DB6591ED}"/>
            </a:ext>
          </a:extLst>
        </xdr:cNvPr>
        <xdr:cNvSpPr/>
      </xdr:nvSpPr>
      <xdr:spPr>
        <a:xfrm>
          <a:off x="1485900" y="656272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104775</xdr:colOff>
      <xdr:row>26</xdr:row>
      <xdr:rowOff>104775</xdr:rowOff>
    </xdr:from>
    <xdr:to>
      <xdr:col>6</xdr:col>
      <xdr:colOff>57150</xdr:colOff>
      <xdr:row>31</xdr:row>
      <xdr:rowOff>19050</xdr:rowOff>
    </xdr:to>
    <xdr:sp macro="" textlink="">
      <xdr:nvSpPr>
        <xdr:cNvPr id="10" name="Signo de multiplicación 9">
          <a:extLst>
            <a:ext uri="{FF2B5EF4-FFF2-40B4-BE49-F238E27FC236}">
              <a16:creationId xmlns:a16="http://schemas.microsoft.com/office/drawing/2014/main" id="{534FF5D4-4AC3-482B-B3B8-9C1FFEA52990}"/>
            </a:ext>
          </a:extLst>
        </xdr:cNvPr>
        <xdr:cNvSpPr/>
      </xdr:nvSpPr>
      <xdr:spPr>
        <a:xfrm>
          <a:off x="1476375" y="5372100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142875</xdr:colOff>
      <xdr:row>20</xdr:row>
      <xdr:rowOff>152400</xdr:rowOff>
    </xdr:from>
    <xdr:to>
      <xdr:col>6</xdr:col>
      <xdr:colOff>95250</xdr:colOff>
      <xdr:row>25</xdr:row>
      <xdr:rowOff>66675</xdr:rowOff>
    </xdr:to>
    <xdr:sp macro="" textlink="">
      <xdr:nvSpPr>
        <xdr:cNvPr id="11" name="Signo de multiplicación 10">
          <a:extLst>
            <a:ext uri="{FF2B5EF4-FFF2-40B4-BE49-F238E27FC236}">
              <a16:creationId xmlns:a16="http://schemas.microsoft.com/office/drawing/2014/main" id="{1AE83FE8-92F7-4D9E-A97A-A6D9A7CC7BD4}"/>
            </a:ext>
          </a:extLst>
        </xdr:cNvPr>
        <xdr:cNvSpPr/>
      </xdr:nvSpPr>
      <xdr:spPr>
        <a:xfrm>
          <a:off x="1514475" y="423862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123825</xdr:colOff>
      <xdr:row>14</xdr:row>
      <xdr:rowOff>104775</xdr:rowOff>
    </xdr:from>
    <xdr:to>
      <xdr:col>6</xdr:col>
      <xdr:colOff>76200</xdr:colOff>
      <xdr:row>19</xdr:row>
      <xdr:rowOff>19050</xdr:rowOff>
    </xdr:to>
    <xdr:sp macro="" textlink="">
      <xdr:nvSpPr>
        <xdr:cNvPr id="12" name="Signo de multiplicación 11">
          <a:extLst>
            <a:ext uri="{FF2B5EF4-FFF2-40B4-BE49-F238E27FC236}">
              <a16:creationId xmlns:a16="http://schemas.microsoft.com/office/drawing/2014/main" id="{A9E9643C-2FB4-4F5D-BDA9-D61A18BF57E0}"/>
            </a:ext>
          </a:extLst>
        </xdr:cNvPr>
        <xdr:cNvSpPr/>
      </xdr:nvSpPr>
      <xdr:spPr>
        <a:xfrm>
          <a:off x="1495425" y="3009900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114300</xdr:colOff>
      <xdr:row>8</xdr:row>
      <xdr:rowOff>133350</xdr:rowOff>
    </xdr:from>
    <xdr:to>
      <xdr:col>6</xdr:col>
      <xdr:colOff>66675</xdr:colOff>
      <xdr:row>13</xdr:row>
      <xdr:rowOff>47625</xdr:rowOff>
    </xdr:to>
    <xdr:sp macro="" textlink="">
      <xdr:nvSpPr>
        <xdr:cNvPr id="13" name="Signo de multiplicación 12">
          <a:extLst>
            <a:ext uri="{FF2B5EF4-FFF2-40B4-BE49-F238E27FC236}">
              <a16:creationId xmlns:a16="http://schemas.microsoft.com/office/drawing/2014/main" id="{5430116E-D48C-44A0-9AA0-B8CA4F84B867}"/>
            </a:ext>
          </a:extLst>
        </xdr:cNvPr>
        <xdr:cNvSpPr/>
      </xdr:nvSpPr>
      <xdr:spPr>
        <a:xfrm>
          <a:off x="1485900" y="185737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76200</xdr:colOff>
      <xdr:row>14</xdr:row>
      <xdr:rowOff>133350</xdr:rowOff>
    </xdr:from>
    <xdr:to>
      <xdr:col>9</xdr:col>
      <xdr:colOff>28575</xdr:colOff>
      <xdr:row>19</xdr:row>
      <xdr:rowOff>47625</xdr:rowOff>
    </xdr:to>
    <xdr:sp macro="" textlink="">
      <xdr:nvSpPr>
        <xdr:cNvPr id="14" name="Signo de multiplicación 13">
          <a:extLst>
            <a:ext uri="{FF2B5EF4-FFF2-40B4-BE49-F238E27FC236}">
              <a16:creationId xmlns:a16="http://schemas.microsoft.com/office/drawing/2014/main" id="{07A93EF0-6782-4EEB-B97D-1275EE64D0EA}"/>
            </a:ext>
          </a:extLst>
        </xdr:cNvPr>
        <xdr:cNvSpPr/>
      </xdr:nvSpPr>
      <xdr:spPr>
        <a:xfrm>
          <a:off x="2543175" y="303847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142875</xdr:colOff>
      <xdr:row>20</xdr:row>
      <xdr:rowOff>114300</xdr:rowOff>
    </xdr:from>
    <xdr:to>
      <xdr:col>9</xdr:col>
      <xdr:colOff>95250</xdr:colOff>
      <xdr:row>25</xdr:row>
      <xdr:rowOff>28575</xdr:rowOff>
    </xdr:to>
    <xdr:sp macro="" textlink="">
      <xdr:nvSpPr>
        <xdr:cNvPr id="15" name="Signo de multiplicación 14">
          <a:extLst>
            <a:ext uri="{FF2B5EF4-FFF2-40B4-BE49-F238E27FC236}">
              <a16:creationId xmlns:a16="http://schemas.microsoft.com/office/drawing/2014/main" id="{19A7B36F-6361-4E04-9271-53234634C699}"/>
            </a:ext>
          </a:extLst>
        </xdr:cNvPr>
        <xdr:cNvSpPr/>
      </xdr:nvSpPr>
      <xdr:spPr>
        <a:xfrm>
          <a:off x="2609850" y="420052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85725</xdr:colOff>
      <xdr:row>14</xdr:row>
      <xdr:rowOff>152400</xdr:rowOff>
    </xdr:from>
    <xdr:to>
      <xdr:col>12</xdr:col>
      <xdr:colOff>38100</xdr:colOff>
      <xdr:row>19</xdr:row>
      <xdr:rowOff>66675</xdr:rowOff>
    </xdr:to>
    <xdr:sp macro="" textlink="">
      <xdr:nvSpPr>
        <xdr:cNvPr id="16" name="Signo de multiplicación 15">
          <a:extLst>
            <a:ext uri="{FF2B5EF4-FFF2-40B4-BE49-F238E27FC236}">
              <a16:creationId xmlns:a16="http://schemas.microsoft.com/office/drawing/2014/main" id="{A2C6C7A9-FDB8-4EC5-8F81-1201FAF780AF}"/>
            </a:ext>
          </a:extLst>
        </xdr:cNvPr>
        <xdr:cNvSpPr/>
      </xdr:nvSpPr>
      <xdr:spPr>
        <a:xfrm>
          <a:off x="3648075" y="305752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133350</xdr:colOff>
      <xdr:row>20</xdr:row>
      <xdr:rowOff>123825</xdr:rowOff>
    </xdr:from>
    <xdr:to>
      <xdr:col>12</xdr:col>
      <xdr:colOff>85725</xdr:colOff>
      <xdr:row>25</xdr:row>
      <xdr:rowOff>38100</xdr:rowOff>
    </xdr:to>
    <xdr:sp macro="" textlink="">
      <xdr:nvSpPr>
        <xdr:cNvPr id="17" name="Signo de multiplicación 16">
          <a:extLst>
            <a:ext uri="{FF2B5EF4-FFF2-40B4-BE49-F238E27FC236}">
              <a16:creationId xmlns:a16="http://schemas.microsoft.com/office/drawing/2014/main" id="{5BEACB0D-180E-4BEA-986C-6897DC2AA86C}"/>
            </a:ext>
          </a:extLst>
        </xdr:cNvPr>
        <xdr:cNvSpPr/>
      </xdr:nvSpPr>
      <xdr:spPr>
        <a:xfrm>
          <a:off x="3695700" y="4210050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171450</xdr:colOff>
      <xdr:row>26</xdr:row>
      <xdr:rowOff>76200</xdr:rowOff>
    </xdr:from>
    <xdr:to>
      <xdr:col>12</xdr:col>
      <xdr:colOff>123825</xdr:colOff>
      <xdr:row>30</xdr:row>
      <xdr:rowOff>190500</xdr:rowOff>
    </xdr:to>
    <xdr:sp macro="" textlink="">
      <xdr:nvSpPr>
        <xdr:cNvPr id="18" name="Signo de multiplicación 17">
          <a:extLst>
            <a:ext uri="{FF2B5EF4-FFF2-40B4-BE49-F238E27FC236}">
              <a16:creationId xmlns:a16="http://schemas.microsoft.com/office/drawing/2014/main" id="{C9344FB9-3CF2-4BC9-B486-DEBF7263AAC2}"/>
            </a:ext>
          </a:extLst>
        </xdr:cNvPr>
        <xdr:cNvSpPr/>
      </xdr:nvSpPr>
      <xdr:spPr>
        <a:xfrm>
          <a:off x="3733800" y="534352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125557</xdr:colOff>
      <xdr:row>8</xdr:row>
      <xdr:rowOff>143741</xdr:rowOff>
    </xdr:from>
    <xdr:to>
      <xdr:col>9</xdr:col>
      <xdr:colOff>77932</xdr:colOff>
      <xdr:row>13</xdr:row>
      <xdr:rowOff>58016</xdr:rowOff>
    </xdr:to>
    <xdr:sp macro="" textlink="">
      <xdr:nvSpPr>
        <xdr:cNvPr id="19" name="Signo de multiplicación 18">
          <a:extLst>
            <a:ext uri="{FF2B5EF4-FFF2-40B4-BE49-F238E27FC236}">
              <a16:creationId xmlns:a16="http://schemas.microsoft.com/office/drawing/2014/main" id="{6EF58223-6081-4241-9C0D-0C81F2A6FB69}"/>
            </a:ext>
          </a:extLst>
        </xdr:cNvPr>
        <xdr:cNvSpPr/>
      </xdr:nvSpPr>
      <xdr:spPr>
        <a:xfrm>
          <a:off x="2602057" y="1884218"/>
          <a:ext cx="1052080" cy="884093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95250</xdr:colOff>
      <xdr:row>26</xdr:row>
      <xdr:rowOff>133350</xdr:rowOff>
    </xdr:from>
    <xdr:to>
      <xdr:col>9</xdr:col>
      <xdr:colOff>47625</xdr:colOff>
      <xdr:row>31</xdr:row>
      <xdr:rowOff>47625</xdr:rowOff>
    </xdr:to>
    <xdr:sp macro="" textlink="">
      <xdr:nvSpPr>
        <xdr:cNvPr id="20" name="Signo de multiplicación 19">
          <a:extLst>
            <a:ext uri="{FF2B5EF4-FFF2-40B4-BE49-F238E27FC236}">
              <a16:creationId xmlns:a16="http://schemas.microsoft.com/office/drawing/2014/main" id="{7016D795-215D-4186-9DA9-0064A4FE8BE8}"/>
            </a:ext>
          </a:extLst>
        </xdr:cNvPr>
        <xdr:cNvSpPr/>
      </xdr:nvSpPr>
      <xdr:spPr>
        <a:xfrm>
          <a:off x="2562225" y="5400675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22224</xdr:colOff>
      <xdr:row>32</xdr:row>
      <xdr:rowOff>63499</xdr:rowOff>
    </xdr:from>
    <xdr:to>
      <xdr:col>9</xdr:col>
      <xdr:colOff>108856</xdr:colOff>
      <xdr:row>37</xdr:row>
      <xdr:rowOff>90714</xdr:rowOff>
    </xdr:to>
    <xdr:sp macro="" textlink="">
      <xdr:nvSpPr>
        <xdr:cNvPr id="21" name="Signo de multiplicación 20">
          <a:extLst>
            <a:ext uri="{FF2B5EF4-FFF2-40B4-BE49-F238E27FC236}">
              <a16:creationId xmlns:a16="http://schemas.microsoft.com/office/drawing/2014/main" id="{726FA2EA-38EF-407B-925C-4416BDD02218}"/>
            </a:ext>
          </a:extLst>
        </xdr:cNvPr>
        <xdr:cNvSpPr/>
      </xdr:nvSpPr>
      <xdr:spPr>
        <a:xfrm>
          <a:off x="2471510" y="6495142"/>
          <a:ext cx="1175203" cy="997858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114300</xdr:colOff>
      <xdr:row>14</xdr:row>
      <xdr:rowOff>142875</xdr:rowOff>
    </xdr:from>
    <xdr:to>
      <xdr:col>15</xdr:col>
      <xdr:colOff>66675</xdr:colOff>
      <xdr:row>19</xdr:row>
      <xdr:rowOff>57150</xdr:rowOff>
    </xdr:to>
    <xdr:sp macro="" textlink="">
      <xdr:nvSpPr>
        <xdr:cNvPr id="22" name="Signo de multiplicación 21">
          <a:extLst>
            <a:ext uri="{FF2B5EF4-FFF2-40B4-BE49-F238E27FC236}">
              <a16:creationId xmlns:a16="http://schemas.microsoft.com/office/drawing/2014/main" id="{B2598931-D539-4735-9366-C5701BC5D002}"/>
            </a:ext>
          </a:extLst>
        </xdr:cNvPr>
        <xdr:cNvSpPr/>
      </xdr:nvSpPr>
      <xdr:spPr>
        <a:xfrm>
          <a:off x="4772025" y="3048000"/>
          <a:ext cx="1047750" cy="8858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104775</xdr:colOff>
      <xdr:row>20</xdr:row>
      <xdr:rowOff>142876</xdr:rowOff>
    </xdr:from>
    <xdr:to>
      <xdr:col>15</xdr:col>
      <xdr:colOff>57150</xdr:colOff>
      <xdr:row>25</xdr:row>
      <xdr:rowOff>54769</xdr:rowOff>
    </xdr:to>
    <xdr:sp macro="" textlink="">
      <xdr:nvSpPr>
        <xdr:cNvPr id="23" name="Signo de multiplicación 22">
          <a:extLst>
            <a:ext uri="{FF2B5EF4-FFF2-40B4-BE49-F238E27FC236}">
              <a16:creationId xmlns:a16="http://schemas.microsoft.com/office/drawing/2014/main" id="{C9608369-9BF8-4B77-8042-5F46C50B51A8}"/>
            </a:ext>
          </a:extLst>
        </xdr:cNvPr>
        <xdr:cNvSpPr/>
      </xdr:nvSpPr>
      <xdr:spPr>
        <a:xfrm>
          <a:off x="4712494" y="4250532"/>
          <a:ext cx="1035844" cy="888206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3290</xdr:colOff>
      <xdr:row>26</xdr:row>
      <xdr:rowOff>80508</xdr:rowOff>
    </xdr:from>
    <xdr:to>
      <xdr:col>15</xdr:col>
      <xdr:colOff>176893</xdr:colOff>
      <xdr:row>31</xdr:row>
      <xdr:rowOff>164419</xdr:rowOff>
    </xdr:to>
    <xdr:sp macro="" textlink="">
      <xdr:nvSpPr>
        <xdr:cNvPr id="24" name="Signo de multiplicación 23">
          <a:extLst>
            <a:ext uri="{FF2B5EF4-FFF2-40B4-BE49-F238E27FC236}">
              <a16:creationId xmlns:a16="http://schemas.microsoft.com/office/drawing/2014/main" id="{162F1331-DC84-4499-A80C-8C9AC0C99DD2}"/>
            </a:ext>
          </a:extLst>
        </xdr:cNvPr>
        <xdr:cNvSpPr/>
      </xdr:nvSpPr>
      <xdr:spPr>
        <a:xfrm>
          <a:off x="4611009" y="5378789"/>
          <a:ext cx="1257072" cy="1060224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376649</xdr:colOff>
      <xdr:row>46</xdr:row>
      <xdr:rowOff>221663</xdr:rowOff>
    </xdr:from>
    <xdr:to>
      <xdr:col>7</xdr:col>
      <xdr:colOff>52799</xdr:colOff>
      <xdr:row>52</xdr:row>
      <xdr:rowOff>194915</xdr:rowOff>
    </xdr:to>
    <xdr:sp macro="" textlink="">
      <xdr:nvSpPr>
        <xdr:cNvPr id="30" name="Signo de multiplicación 29">
          <a:extLst>
            <a:ext uri="{FF2B5EF4-FFF2-40B4-BE49-F238E27FC236}">
              <a16:creationId xmlns:a16="http://schemas.microsoft.com/office/drawing/2014/main" id="{4DFFEB00-09DD-4EED-A974-4DEFAF18FF3C}"/>
            </a:ext>
          </a:extLst>
        </xdr:cNvPr>
        <xdr:cNvSpPr/>
      </xdr:nvSpPr>
      <xdr:spPr>
        <a:xfrm>
          <a:off x="1300285" y="9650451"/>
          <a:ext cx="1427211" cy="1262494"/>
        </a:xfrm>
        <a:prstGeom prst="mathMultiply">
          <a:avLst/>
        </a:prstGeom>
        <a:solidFill>
          <a:srgbClr val="00B05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87457</xdr:colOff>
      <xdr:row>8</xdr:row>
      <xdr:rowOff>174914</xdr:rowOff>
    </xdr:from>
    <xdr:to>
      <xdr:col>12</xdr:col>
      <xdr:colOff>39833</xdr:colOff>
      <xdr:row>13</xdr:row>
      <xdr:rowOff>89189</xdr:rowOff>
    </xdr:to>
    <xdr:sp macro="" textlink="">
      <xdr:nvSpPr>
        <xdr:cNvPr id="3" name="Signo de multiplicación 2">
          <a:extLst>
            <a:ext uri="{FF2B5EF4-FFF2-40B4-BE49-F238E27FC236}">
              <a16:creationId xmlns:a16="http://schemas.microsoft.com/office/drawing/2014/main" id="{9C4AEEB4-0E49-4E23-AC82-312C863561C8}"/>
            </a:ext>
          </a:extLst>
        </xdr:cNvPr>
        <xdr:cNvSpPr/>
      </xdr:nvSpPr>
      <xdr:spPr>
        <a:xfrm>
          <a:off x="3663662" y="1915391"/>
          <a:ext cx="1052080" cy="884093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94166</xdr:colOff>
      <xdr:row>32</xdr:row>
      <xdr:rowOff>143957</xdr:rowOff>
    </xdr:from>
    <xdr:to>
      <xdr:col>12</xdr:col>
      <xdr:colOff>46542</xdr:colOff>
      <xdr:row>37</xdr:row>
      <xdr:rowOff>59098</xdr:rowOff>
    </xdr:to>
    <xdr:sp macro="" textlink="">
      <xdr:nvSpPr>
        <xdr:cNvPr id="25" name="Signo de multiplicación 24">
          <a:extLst>
            <a:ext uri="{FF2B5EF4-FFF2-40B4-BE49-F238E27FC236}">
              <a16:creationId xmlns:a16="http://schemas.microsoft.com/office/drawing/2014/main" id="{EE7A4589-90FD-44BC-9A72-F306536DA5D0}"/>
            </a:ext>
          </a:extLst>
        </xdr:cNvPr>
        <xdr:cNvSpPr/>
      </xdr:nvSpPr>
      <xdr:spPr>
        <a:xfrm>
          <a:off x="3618416" y="6632863"/>
          <a:ext cx="1035845" cy="891454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96116</xdr:colOff>
      <xdr:row>8</xdr:row>
      <xdr:rowOff>103909</xdr:rowOff>
    </xdr:from>
    <xdr:to>
      <xdr:col>15</xdr:col>
      <xdr:colOff>48491</xdr:colOff>
      <xdr:row>13</xdr:row>
      <xdr:rowOff>18184</xdr:rowOff>
    </xdr:to>
    <xdr:sp macro="" textlink="">
      <xdr:nvSpPr>
        <xdr:cNvPr id="31" name="Signo de multiplicación 30">
          <a:extLst>
            <a:ext uri="{FF2B5EF4-FFF2-40B4-BE49-F238E27FC236}">
              <a16:creationId xmlns:a16="http://schemas.microsoft.com/office/drawing/2014/main" id="{65D19B77-FCCB-4D14-B443-7454E7556BFD}"/>
            </a:ext>
          </a:extLst>
        </xdr:cNvPr>
        <xdr:cNvSpPr/>
      </xdr:nvSpPr>
      <xdr:spPr>
        <a:xfrm>
          <a:off x="4772025" y="1844386"/>
          <a:ext cx="1052080" cy="884093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0</xdr:colOff>
      <xdr:row>25</xdr:row>
      <xdr:rowOff>182803</xdr:rowOff>
    </xdr:from>
    <xdr:to>
      <xdr:col>19</xdr:col>
      <xdr:colOff>33755</xdr:colOff>
      <xdr:row>31</xdr:row>
      <xdr:rowOff>93712</xdr:rowOff>
    </xdr:to>
    <xdr:sp macro="" textlink="">
      <xdr:nvSpPr>
        <xdr:cNvPr id="32" name="Signo de multiplicación 31">
          <a:extLst>
            <a:ext uri="{FF2B5EF4-FFF2-40B4-BE49-F238E27FC236}">
              <a16:creationId xmlns:a16="http://schemas.microsoft.com/office/drawing/2014/main" id="{979EEEB0-5BEB-411C-AF12-9024571F6F2C}"/>
            </a:ext>
          </a:extLst>
        </xdr:cNvPr>
        <xdr:cNvSpPr/>
      </xdr:nvSpPr>
      <xdr:spPr>
        <a:xfrm>
          <a:off x="5811212" y="5291667"/>
          <a:ext cx="1322998" cy="1103939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81920</xdr:colOff>
      <xdr:row>20</xdr:row>
      <xdr:rowOff>104496</xdr:rowOff>
    </xdr:from>
    <xdr:to>
      <xdr:col>18</xdr:col>
      <xdr:colOff>146538</xdr:colOff>
      <xdr:row>25</xdr:row>
      <xdr:rowOff>125604</xdr:rowOff>
    </xdr:to>
    <xdr:sp macro="" textlink="">
      <xdr:nvSpPr>
        <xdr:cNvPr id="33" name="Signo de multiplicación 32">
          <a:extLst>
            <a:ext uri="{FF2B5EF4-FFF2-40B4-BE49-F238E27FC236}">
              <a16:creationId xmlns:a16="http://schemas.microsoft.com/office/drawing/2014/main" id="{4E60F7B7-DA5C-411A-9D6B-D176A4917E23}"/>
            </a:ext>
          </a:extLst>
        </xdr:cNvPr>
        <xdr:cNvSpPr/>
      </xdr:nvSpPr>
      <xdr:spPr>
        <a:xfrm>
          <a:off x="5859722" y="4176172"/>
          <a:ext cx="1163657" cy="98407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14</xdr:col>
      <xdr:colOff>430771</xdr:colOff>
      <xdr:row>14</xdr:row>
      <xdr:rowOff>103006</xdr:rowOff>
    </xdr:from>
    <xdr:to>
      <xdr:col>19</xdr:col>
      <xdr:colOff>22104</xdr:colOff>
      <xdr:row>19</xdr:row>
      <xdr:rowOff>75297</xdr:rowOff>
    </xdr:to>
    <xdr:sp macro="" textlink="">
      <xdr:nvSpPr>
        <xdr:cNvPr id="34" name="Signo de multiplicación 33">
          <a:extLst>
            <a:ext uri="{FF2B5EF4-FFF2-40B4-BE49-F238E27FC236}">
              <a16:creationId xmlns:a16="http://schemas.microsoft.com/office/drawing/2014/main" id="{04F4386E-0E78-4393-A296-0009139FAC52}"/>
            </a:ext>
          </a:extLst>
        </xdr:cNvPr>
        <xdr:cNvSpPr/>
      </xdr:nvSpPr>
      <xdr:spPr>
        <a:xfrm>
          <a:off x="5704032" y="2988115"/>
          <a:ext cx="1316876" cy="93859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418917</xdr:colOff>
      <xdr:row>7</xdr:row>
      <xdr:rowOff>100342</xdr:rowOff>
    </xdr:from>
    <xdr:to>
      <xdr:col>22</xdr:col>
      <xdr:colOff>59348</xdr:colOff>
      <xdr:row>13</xdr:row>
      <xdr:rowOff>183790</xdr:rowOff>
    </xdr:to>
    <xdr:sp macro="" textlink="">
      <xdr:nvSpPr>
        <xdr:cNvPr id="35" name="Signo de multiplicación 34">
          <a:extLst>
            <a:ext uri="{FF2B5EF4-FFF2-40B4-BE49-F238E27FC236}">
              <a16:creationId xmlns:a16="http://schemas.microsoft.com/office/drawing/2014/main" id="{56B6A42E-02E8-465F-806E-8A1131E1DB65}"/>
            </a:ext>
          </a:extLst>
        </xdr:cNvPr>
        <xdr:cNvSpPr/>
      </xdr:nvSpPr>
      <xdr:spPr>
        <a:xfrm>
          <a:off x="7009722" y="1545173"/>
          <a:ext cx="1451418" cy="1181916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392451</xdr:colOff>
      <xdr:row>13</xdr:row>
      <xdr:rowOff>115440</xdr:rowOff>
    </xdr:from>
    <xdr:to>
      <xdr:col>22</xdr:col>
      <xdr:colOff>43860</xdr:colOff>
      <xdr:row>19</xdr:row>
      <xdr:rowOff>182881</xdr:rowOff>
    </xdr:to>
    <xdr:sp macro="" textlink="">
      <xdr:nvSpPr>
        <xdr:cNvPr id="36" name="Signo de multiplicación 35">
          <a:extLst>
            <a:ext uri="{FF2B5EF4-FFF2-40B4-BE49-F238E27FC236}">
              <a16:creationId xmlns:a16="http://schemas.microsoft.com/office/drawing/2014/main" id="{488D5F5E-1111-4270-8D13-FD413E85626C}"/>
            </a:ext>
          </a:extLst>
        </xdr:cNvPr>
        <xdr:cNvSpPr/>
      </xdr:nvSpPr>
      <xdr:spPr>
        <a:xfrm>
          <a:off x="6983256" y="2658739"/>
          <a:ext cx="1462396" cy="1175804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360804</xdr:colOff>
      <xdr:row>31</xdr:row>
      <xdr:rowOff>105964</xdr:rowOff>
    </xdr:from>
    <xdr:to>
      <xdr:col>16</xdr:col>
      <xdr:colOff>47931</xdr:colOff>
      <xdr:row>37</xdr:row>
      <xdr:rowOff>168803</xdr:rowOff>
    </xdr:to>
    <xdr:sp macro="" textlink="">
      <xdr:nvSpPr>
        <xdr:cNvPr id="38" name="Signo de multiplicación 37">
          <a:extLst>
            <a:ext uri="{FF2B5EF4-FFF2-40B4-BE49-F238E27FC236}">
              <a16:creationId xmlns:a16="http://schemas.microsoft.com/office/drawing/2014/main" id="{03F1E7EA-23A7-4BF1-A709-CB1BCF854025}"/>
            </a:ext>
          </a:extLst>
        </xdr:cNvPr>
        <xdr:cNvSpPr/>
      </xdr:nvSpPr>
      <xdr:spPr>
        <a:xfrm>
          <a:off x="4695298" y="5984250"/>
          <a:ext cx="1468425" cy="119099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417925</xdr:colOff>
      <xdr:row>25</xdr:row>
      <xdr:rowOff>142661</xdr:rowOff>
    </xdr:from>
    <xdr:to>
      <xdr:col>22</xdr:col>
      <xdr:colOff>63613</xdr:colOff>
      <xdr:row>32</xdr:row>
      <xdr:rowOff>6204</xdr:rowOff>
    </xdr:to>
    <xdr:sp macro="" textlink="">
      <xdr:nvSpPr>
        <xdr:cNvPr id="40" name="Signo de multiplicación 39">
          <a:extLst>
            <a:ext uri="{FF2B5EF4-FFF2-40B4-BE49-F238E27FC236}">
              <a16:creationId xmlns:a16="http://schemas.microsoft.com/office/drawing/2014/main" id="{D92939C9-28A1-4E55-AFFD-041ECA000FC5}"/>
            </a:ext>
          </a:extLst>
        </xdr:cNvPr>
        <xdr:cNvSpPr/>
      </xdr:nvSpPr>
      <xdr:spPr>
        <a:xfrm>
          <a:off x="7008730" y="4902687"/>
          <a:ext cx="1456675" cy="1179725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406553</xdr:colOff>
      <xdr:row>32</xdr:row>
      <xdr:rowOff>83822</xdr:rowOff>
    </xdr:from>
    <xdr:to>
      <xdr:col>19</xdr:col>
      <xdr:colOff>9619</xdr:colOff>
      <xdr:row>37</xdr:row>
      <xdr:rowOff>182802</xdr:rowOff>
    </xdr:to>
    <xdr:sp macro="" textlink="">
      <xdr:nvSpPr>
        <xdr:cNvPr id="4" name="Signo de multiplicación 3">
          <a:extLst>
            <a:ext uri="{FF2B5EF4-FFF2-40B4-BE49-F238E27FC236}">
              <a16:creationId xmlns:a16="http://schemas.microsoft.com/office/drawing/2014/main" id="{9D863784-6141-4AB1-BFDD-2913586E7840}"/>
            </a:ext>
          </a:extLst>
        </xdr:cNvPr>
        <xdr:cNvSpPr/>
      </xdr:nvSpPr>
      <xdr:spPr>
        <a:xfrm>
          <a:off x="5755947" y="6597383"/>
          <a:ext cx="1354127" cy="1080343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38879</xdr:colOff>
      <xdr:row>20</xdr:row>
      <xdr:rowOff>58318</xdr:rowOff>
    </xdr:from>
    <xdr:to>
      <xdr:col>21</xdr:col>
      <xdr:colOff>168912</xdr:colOff>
      <xdr:row>25</xdr:row>
      <xdr:rowOff>94792</xdr:rowOff>
    </xdr:to>
    <xdr:sp macro="" textlink="">
      <xdr:nvSpPr>
        <xdr:cNvPr id="42" name="Signo de multiplicación 41">
          <a:extLst>
            <a:ext uri="{FF2B5EF4-FFF2-40B4-BE49-F238E27FC236}">
              <a16:creationId xmlns:a16="http://schemas.microsoft.com/office/drawing/2014/main" id="{BC1E6D1F-6A67-4AD6-828E-D7DC3232F3CB}"/>
            </a:ext>
          </a:extLst>
        </xdr:cNvPr>
        <xdr:cNvSpPr/>
      </xdr:nvSpPr>
      <xdr:spPr>
        <a:xfrm>
          <a:off x="6900767" y="4227935"/>
          <a:ext cx="1257482" cy="1027852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467679</xdr:colOff>
      <xdr:row>8</xdr:row>
      <xdr:rowOff>115479</xdr:rowOff>
    </xdr:from>
    <xdr:to>
      <xdr:col>19</xdr:col>
      <xdr:colOff>37846</xdr:colOff>
      <xdr:row>13</xdr:row>
      <xdr:rowOff>87770</xdr:rowOff>
    </xdr:to>
    <xdr:sp macro="" textlink="">
      <xdr:nvSpPr>
        <xdr:cNvPr id="43" name="Signo de multiplicación 42">
          <a:extLst>
            <a:ext uri="{FF2B5EF4-FFF2-40B4-BE49-F238E27FC236}">
              <a16:creationId xmlns:a16="http://schemas.microsoft.com/office/drawing/2014/main" id="{20E7BBC5-5FA5-419B-8734-E24D1170A661}"/>
            </a:ext>
          </a:extLst>
        </xdr:cNvPr>
        <xdr:cNvSpPr/>
      </xdr:nvSpPr>
      <xdr:spPr>
        <a:xfrm>
          <a:off x="5930328" y="1748336"/>
          <a:ext cx="1351466" cy="882733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408528</xdr:colOff>
      <xdr:row>7</xdr:row>
      <xdr:rowOff>180199</xdr:rowOff>
    </xdr:from>
    <xdr:to>
      <xdr:col>25</xdr:col>
      <xdr:colOff>36740</xdr:colOff>
      <xdr:row>14</xdr:row>
      <xdr:rowOff>64278</xdr:rowOff>
    </xdr:to>
    <xdr:sp macro="" textlink="">
      <xdr:nvSpPr>
        <xdr:cNvPr id="44" name="Signo de multiplicación 43">
          <a:extLst>
            <a:ext uri="{FF2B5EF4-FFF2-40B4-BE49-F238E27FC236}">
              <a16:creationId xmlns:a16="http://schemas.microsoft.com/office/drawing/2014/main" id="{4DFAEC3C-598F-4808-930E-CC3ADCD2F8FE}"/>
            </a:ext>
          </a:extLst>
        </xdr:cNvPr>
        <xdr:cNvSpPr/>
      </xdr:nvSpPr>
      <xdr:spPr>
        <a:xfrm>
          <a:off x="8140823" y="1664094"/>
          <a:ext cx="1448991" cy="1215573"/>
        </a:xfrm>
        <a:prstGeom prst="mathMultiply">
          <a:avLst/>
        </a:prstGeom>
        <a:solidFill>
          <a:srgbClr val="00B05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444678</xdr:colOff>
      <xdr:row>19</xdr:row>
      <xdr:rowOff>149996</xdr:rowOff>
    </xdr:from>
    <xdr:to>
      <xdr:col>25</xdr:col>
      <xdr:colOff>84757</xdr:colOff>
      <xdr:row>26</xdr:row>
      <xdr:rowOff>23616</xdr:rowOff>
    </xdr:to>
    <xdr:sp macro="" textlink="">
      <xdr:nvSpPr>
        <xdr:cNvPr id="45" name="Signo de multiplicación 44">
          <a:extLst>
            <a:ext uri="{FF2B5EF4-FFF2-40B4-BE49-F238E27FC236}">
              <a16:creationId xmlns:a16="http://schemas.microsoft.com/office/drawing/2014/main" id="{72745097-A6AE-4F6E-8DC4-21BAF1E98C0B}"/>
            </a:ext>
          </a:extLst>
        </xdr:cNvPr>
        <xdr:cNvSpPr/>
      </xdr:nvSpPr>
      <xdr:spPr>
        <a:xfrm>
          <a:off x="8176973" y="3903849"/>
          <a:ext cx="1460858" cy="1213135"/>
        </a:xfrm>
        <a:prstGeom prst="mathMultiply">
          <a:avLst/>
        </a:prstGeom>
        <a:solidFill>
          <a:srgbClr val="00B05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398145</xdr:colOff>
      <xdr:row>13</xdr:row>
      <xdr:rowOff>193438</xdr:rowOff>
    </xdr:from>
    <xdr:to>
      <xdr:col>25</xdr:col>
      <xdr:colOff>49553</xdr:colOff>
      <xdr:row>20</xdr:row>
      <xdr:rowOff>60937</xdr:rowOff>
    </xdr:to>
    <xdr:sp macro="" textlink="">
      <xdr:nvSpPr>
        <xdr:cNvPr id="47" name="Signo de multiplicación 46">
          <a:extLst>
            <a:ext uri="{FF2B5EF4-FFF2-40B4-BE49-F238E27FC236}">
              <a16:creationId xmlns:a16="http://schemas.microsoft.com/office/drawing/2014/main" id="{A761FAC0-D82C-4E0D-A1F6-5602BC7E9142}"/>
            </a:ext>
          </a:extLst>
        </xdr:cNvPr>
        <xdr:cNvSpPr/>
      </xdr:nvSpPr>
      <xdr:spPr>
        <a:xfrm>
          <a:off x="8130440" y="2808301"/>
          <a:ext cx="1472187" cy="1207015"/>
        </a:xfrm>
        <a:prstGeom prst="mathMultiply">
          <a:avLst/>
        </a:prstGeom>
        <a:solidFill>
          <a:srgbClr val="00B05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20</xdr:col>
      <xdr:colOff>432132</xdr:colOff>
      <xdr:row>25</xdr:row>
      <xdr:rowOff>152630</xdr:rowOff>
    </xdr:from>
    <xdr:to>
      <xdr:col>25</xdr:col>
      <xdr:colOff>83540</xdr:colOff>
      <xdr:row>32</xdr:row>
      <xdr:rowOff>20152</xdr:rowOff>
    </xdr:to>
    <xdr:sp macro="" textlink="">
      <xdr:nvSpPr>
        <xdr:cNvPr id="48" name="Signo de multiplicación 47">
          <a:extLst>
            <a:ext uri="{FF2B5EF4-FFF2-40B4-BE49-F238E27FC236}">
              <a16:creationId xmlns:a16="http://schemas.microsoft.com/office/drawing/2014/main" id="{EC6A579F-696C-463F-8F0F-CB84CF915064}"/>
            </a:ext>
          </a:extLst>
        </xdr:cNvPr>
        <xdr:cNvSpPr/>
      </xdr:nvSpPr>
      <xdr:spPr>
        <a:xfrm>
          <a:off x="8151093" y="4912656"/>
          <a:ext cx="1462395" cy="1183704"/>
        </a:xfrm>
        <a:prstGeom prst="mathMultiply">
          <a:avLst/>
        </a:prstGeom>
        <a:solidFill>
          <a:srgbClr val="00B05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417273</xdr:colOff>
      <xdr:row>40</xdr:row>
      <xdr:rowOff>187674</xdr:rowOff>
    </xdr:from>
    <xdr:to>
      <xdr:col>7</xdr:col>
      <xdr:colOff>84083</xdr:colOff>
      <xdr:row>46</xdr:row>
      <xdr:rowOff>219374</xdr:rowOff>
    </xdr:to>
    <xdr:sp macro="" textlink="">
      <xdr:nvSpPr>
        <xdr:cNvPr id="39" name="Signo de multiplicación 38">
          <a:extLst>
            <a:ext uri="{FF2B5EF4-FFF2-40B4-BE49-F238E27FC236}">
              <a16:creationId xmlns:a16="http://schemas.microsoft.com/office/drawing/2014/main" id="{0167C65A-A65F-43F1-92F6-16879A82F4B3}"/>
            </a:ext>
          </a:extLst>
        </xdr:cNvPr>
        <xdr:cNvSpPr/>
      </xdr:nvSpPr>
      <xdr:spPr>
        <a:xfrm>
          <a:off x="1330895" y="8458873"/>
          <a:ext cx="1406581" cy="1266062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460546</xdr:colOff>
      <xdr:row>13</xdr:row>
      <xdr:rowOff>184161</xdr:rowOff>
    </xdr:from>
    <xdr:to>
      <xdr:col>28</xdr:col>
      <xdr:colOff>135922</xdr:colOff>
      <xdr:row>20</xdr:row>
      <xdr:rowOff>41697</xdr:rowOff>
    </xdr:to>
    <xdr:sp macro="" textlink="">
      <xdr:nvSpPr>
        <xdr:cNvPr id="57" name="Signo de multiplicación 56">
          <a:extLst>
            <a:ext uri="{FF2B5EF4-FFF2-40B4-BE49-F238E27FC236}">
              <a16:creationId xmlns:a16="http://schemas.microsoft.com/office/drawing/2014/main" id="{5AB53CCF-3AC7-47D9-AD65-E669C9E8FB45}"/>
            </a:ext>
          </a:extLst>
        </xdr:cNvPr>
        <xdr:cNvSpPr/>
      </xdr:nvSpPr>
      <xdr:spPr>
        <a:xfrm>
          <a:off x="9148501" y="2906964"/>
          <a:ext cx="1570754" cy="1262233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399928</xdr:colOff>
      <xdr:row>52</xdr:row>
      <xdr:rowOff>169525</xdr:rowOff>
    </xdr:from>
    <xdr:to>
      <xdr:col>7</xdr:col>
      <xdr:colOff>76078</xdr:colOff>
      <xdr:row>59</xdr:row>
      <xdr:rowOff>36433</xdr:rowOff>
    </xdr:to>
    <xdr:sp macro="" textlink="">
      <xdr:nvSpPr>
        <xdr:cNvPr id="49" name="Signo de multiplicación 48">
          <a:extLst>
            <a:ext uri="{FF2B5EF4-FFF2-40B4-BE49-F238E27FC236}">
              <a16:creationId xmlns:a16="http://schemas.microsoft.com/office/drawing/2014/main" id="{C7A2B308-EE05-4A39-8785-0D6621B3377F}"/>
            </a:ext>
          </a:extLst>
        </xdr:cNvPr>
        <xdr:cNvSpPr/>
      </xdr:nvSpPr>
      <xdr:spPr>
        <a:xfrm>
          <a:off x="1313550" y="10967765"/>
          <a:ext cx="1415921" cy="1285938"/>
        </a:xfrm>
        <a:prstGeom prst="mathMultiply">
          <a:avLst/>
        </a:prstGeom>
        <a:solidFill>
          <a:srgbClr val="FFFF0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394165</xdr:colOff>
      <xdr:row>52</xdr:row>
      <xdr:rowOff>144325</xdr:rowOff>
    </xdr:from>
    <xdr:to>
      <xdr:col>10</xdr:col>
      <xdr:colOff>70315</xdr:colOff>
      <xdr:row>59</xdr:row>
      <xdr:rowOff>11233</xdr:rowOff>
    </xdr:to>
    <xdr:sp macro="" textlink="">
      <xdr:nvSpPr>
        <xdr:cNvPr id="50" name="Signo de multiplicación 49">
          <a:extLst>
            <a:ext uri="{FF2B5EF4-FFF2-40B4-BE49-F238E27FC236}">
              <a16:creationId xmlns:a16="http://schemas.microsoft.com/office/drawing/2014/main" id="{08FF2FD3-98B6-4D55-AC34-2B4DFAF3FC2B}"/>
            </a:ext>
          </a:extLst>
        </xdr:cNvPr>
        <xdr:cNvSpPr/>
      </xdr:nvSpPr>
      <xdr:spPr>
        <a:xfrm>
          <a:off x="2406078" y="10942565"/>
          <a:ext cx="1415921" cy="1285938"/>
        </a:xfrm>
        <a:prstGeom prst="mathMultiply">
          <a:avLst/>
        </a:prstGeom>
        <a:solidFill>
          <a:srgbClr val="C00000">
            <a:alpha val="34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415281</xdr:colOff>
      <xdr:row>52</xdr:row>
      <xdr:rowOff>156218</xdr:rowOff>
    </xdr:from>
    <xdr:to>
      <xdr:col>16</xdr:col>
      <xdr:colOff>74204</xdr:colOff>
      <xdr:row>59</xdr:row>
      <xdr:rowOff>31562</xdr:rowOff>
    </xdr:to>
    <xdr:sp macro="" textlink="">
      <xdr:nvSpPr>
        <xdr:cNvPr id="51" name="Signo de multiplicación 50">
          <a:extLst>
            <a:ext uri="{FF2B5EF4-FFF2-40B4-BE49-F238E27FC236}">
              <a16:creationId xmlns:a16="http://schemas.microsoft.com/office/drawing/2014/main" id="{A5366763-738F-4F63-926D-D44FC221CC8C}"/>
            </a:ext>
          </a:extLst>
        </xdr:cNvPr>
        <xdr:cNvSpPr/>
      </xdr:nvSpPr>
      <xdr:spPr>
        <a:xfrm>
          <a:off x="4623776" y="10954458"/>
          <a:ext cx="1398693" cy="1294374"/>
        </a:xfrm>
        <a:prstGeom prst="mathMultiply">
          <a:avLst/>
        </a:prstGeom>
        <a:solidFill>
          <a:schemeClr val="accent1">
            <a:lumMod val="20000"/>
            <a:lumOff val="80000"/>
            <a:alpha val="5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404073</xdr:colOff>
      <xdr:row>40</xdr:row>
      <xdr:rowOff>172088</xdr:rowOff>
    </xdr:from>
    <xdr:to>
      <xdr:col>10</xdr:col>
      <xdr:colOff>81197</xdr:colOff>
      <xdr:row>46</xdr:row>
      <xdr:rowOff>226976</xdr:rowOff>
    </xdr:to>
    <xdr:sp macro="" textlink="">
      <xdr:nvSpPr>
        <xdr:cNvPr id="52" name="Signo de multiplicación 51">
          <a:extLst>
            <a:ext uri="{FF2B5EF4-FFF2-40B4-BE49-F238E27FC236}">
              <a16:creationId xmlns:a16="http://schemas.microsoft.com/office/drawing/2014/main" id="{266FFDAC-172E-4842-B7F8-1311115AA827}"/>
            </a:ext>
          </a:extLst>
        </xdr:cNvPr>
        <xdr:cNvSpPr/>
      </xdr:nvSpPr>
      <xdr:spPr>
        <a:xfrm>
          <a:off x="2407429" y="8314928"/>
          <a:ext cx="1406119" cy="1281749"/>
        </a:xfrm>
        <a:prstGeom prst="mathMultiply">
          <a:avLst/>
        </a:prstGeom>
        <a:solidFill>
          <a:srgbClr val="FFFF0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402661</xdr:colOff>
      <xdr:row>40</xdr:row>
      <xdr:rowOff>128051</xdr:rowOff>
    </xdr:from>
    <xdr:to>
      <xdr:col>16</xdr:col>
      <xdr:colOff>79785</xdr:colOff>
      <xdr:row>46</xdr:row>
      <xdr:rowOff>190008</xdr:rowOff>
    </xdr:to>
    <xdr:sp macro="" textlink="">
      <xdr:nvSpPr>
        <xdr:cNvPr id="53" name="Signo de multiplicación 52">
          <a:extLst>
            <a:ext uri="{FF2B5EF4-FFF2-40B4-BE49-F238E27FC236}">
              <a16:creationId xmlns:a16="http://schemas.microsoft.com/office/drawing/2014/main" id="{CE936B4A-811F-4EC9-974E-F1368711C923}"/>
            </a:ext>
          </a:extLst>
        </xdr:cNvPr>
        <xdr:cNvSpPr/>
      </xdr:nvSpPr>
      <xdr:spPr>
        <a:xfrm>
          <a:off x="4645616" y="8325324"/>
          <a:ext cx="1428184" cy="1293472"/>
        </a:xfrm>
        <a:prstGeom prst="mathMultiply">
          <a:avLst/>
        </a:prstGeom>
        <a:solidFill>
          <a:srgbClr val="FFFF0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8</xdr:col>
      <xdr:colOff>378383</xdr:colOff>
      <xdr:row>46</xdr:row>
      <xdr:rowOff>229588</xdr:rowOff>
    </xdr:from>
    <xdr:to>
      <xdr:col>13</xdr:col>
      <xdr:colOff>37306</xdr:colOff>
      <xdr:row>53</xdr:row>
      <xdr:rowOff>11980</xdr:rowOff>
    </xdr:to>
    <xdr:sp macro="" textlink="">
      <xdr:nvSpPr>
        <xdr:cNvPr id="58" name="Signo de multiplicación 57">
          <a:extLst>
            <a:ext uri="{FF2B5EF4-FFF2-40B4-BE49-F238E27FC236}">
              <a16:creationId xmlns:a16="http://schemas.microsoft.com/office/drawing/2014/main" id="{E2492D69-0791-4346-B10A-704EC8DB3064}"/>
            </a:ext>
          </a:extLst>
        </xdr:cNvPr>
        <xdr:cNvSpPr/>
      </xdr:nvSpPr>
      <xdr:spPr>
        <a:xfrm>
          <a:off x="3488587" y="9735149"/>
          <a:ext cx="1398693" cy="1288897"/>
        </a:xfrm>
        <a:prstGeom prst="mathMultiply">
          <a:avLst/>
        </a:prstGeom>
        <a:solidFill>
          <a:schemeClr val="accent1">
            <a:lumMod val="20000"/>
            <a:lumOff val="80000"/>
            <a:alpha val="5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421501</xdr:colOff>
      <xdr:row>31</xdr:row>
      <xdr:rowOff>120789</xdr:rowOff>
    </xdr:from>
    <xdr:to>
      <xdr:col>22</xdr:col>
      <xdr:colOff>72910</xdr:colOff>
      <xdr:row>38</xdr:row>
      <xdr:rowOff>2096</xdr:rowOff>
    </xdr:to>
    <xdr:sp macro="" textlink="">
      <xdr:nvSpPr>
        <xdr:cNvPr id="28" name="Signo de multiplicación 27">
          <a:extLst>
            <a:ext uri="{FF2B5EF4-FFF2-40B4-BE49-F238E27FC236}">
              <a16:creationId xmlns:a16="http://schemas.microsoft.com/office/drawing/2014/main" id="{3E881A09-8E41-4871-9302-F996338B1098}"/>
            </a:ext>
          </a:extLst>
        </xdr:cNvPr>
        <xdr:cNvSpPr/>
      </xdr:nvSpPr>
      <xdr:spPr>
        <a:xfrm>
          <a:off x="7012306" y="5999075"/>
          <a:ext cx="1462396" cy="1207385"/>
        </a:xfrm>
        <a:prstGeom prst="mathMultiply">
          <a:avLst/>
        </a:prstGeom>
        <a:solidFill>
          <a:srgbClr val="00B050">
            <a:alpha val="58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9"/>
  <sheetViews>
    <sheetView tabSelected="1" topLeftCell="A39" zoomScale="99" zoomScaleNormal="100" workbookViewId="0">
      <selection activeCell="AF63" sqref="AF63"/>
    </sheetView>
  </sheetViews>
  <sheetFormatPr baseColWidth="10" defaultColWidth="9.140625" defaultRowHeight="15" x14ac:dyDescent="0.25"/>
  <cols>
    <col min="1" max="3" width="6.85546875" customWidth="1"/>
    <col min="4" max="4" width="2.7109375" customWidth="1"/>
    <col min="5" max="6" width="6.85546875" customWidth="1"/>
    <col min="7" max="7" width="2.7109375" customWidth="1"/>
    <col min="8" max="9" width="6.85546875" customWidth="1"/>
    <col min="10" max="10" width="2.7109375" customWidth="1"/>
    <col min="11" max="12" width="6.85546875" customWidth="1"/>
    <col min="13" max="13" width="2.7109375" customWidth="1"/>
    <col min="14" max="15" width="6.85546875" customWidth="1"/>
    <col min="16" max="16" width="2.7109375" customWidth="1"/>
    <col min="17" max="18" width="6.85546875" customWidth="1"/>
    <col min="19" max="19" width="2.7109375" customWidth="1"/>
    <col min="20" max="20" width="6.85546875" customWidth="1"/>
    <col min="21" max="21" width="7.28515625" customWidth="1"/>
    <col min="22" max="22" width="2.7109375" customWidth="1"/>
    <col min="23" max="23" width="6.85546875" customWidth="1"/>
    <col min="24" max="24" width="9.140625" customWidth="1"/>
    <col min="25" max="25" width="2.7109375" customWidth="1"/>
    <col min="26" max="27" width="6.85546875" customWidth="1"/>
    <col min="28" max="28" width="2.7109375" customWidth="1"/>
    <col min="29" max="29" width="6.85546875" customWidth="1"/>
    <col min="30" max="30" width="8" customWidth="1"/>
    <col min="31" max="31" width="2.7109375" customWidth="1"/>
    <col min="32" max="32" width="7.7109375" customWidth="1"/>
    <col min="35" max="35" width="9.7109375" bestFit="1" customWidth="1"/>
  </cols>
  <sheetData>
    <row r="1" spans="1:3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5" ht="18.75" x14ac:dyDescent="0.3">
      <c r="A2" s="9"/>
      <c r="B2" s="9"/>
      <c r="C2" s="9"/>
      <c r="D2" s="33" t="s">
        <v>141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9"/>
    </row>
    <row r="3" spans="1:35" ht="18.75" x14ac:dyDescent="0.3">
      <c r="A3" s="9"/>
      <c r="B3" s="9"/>
      <c r="C3" s="9"/>
      <c r="D3" s="33" t="s">
        <v>142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9"/>
    </row>
    <row r="4" spans="1:35" ht="18.75" x14ac:dyDescent="0.3">
      <c r="A4" s="9"/>
      <c r="B4" s="9"/>
      <c r="C4" s="9"/>
      <c r="D4" s="33" t="s">
        <v>143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9"/>
      <c r="AI4" s="31"/>
    </row>
    <row r="5" spans="1:35" ht="18.75" x14ac:dyDescent="0.3">
      <c r="A5" s="9"/>
      <c r="B5" s="9"/>
      <c r="C5" s="9"/>
      <c r="D5" s="33" t="s">
        <v>170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9"/>
    </row>
    <row r="6" spans="1:3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5" x14ac:dyDescent="0.25">
      <c r="A7" s="9"/>
      <c r="B7" s="34" t="s">
        <v>4</v>
      </c>
      <c r="C7" s="34"/>
      <c r="D7" s="9"/>
      <c r="E7" s="34" t="s">
        <v>9</v>
      </c>
      <c r="F7" s="34"/>
      <c r="G7" s="9"/>
      <c r="H7" s="34" t="s">
        <v>31</v>
      </c>
      <c r="I7" s="34"/>
      <c r="J7" s="9"/>
      <c r="K7" s="34" t="s">
        <v>32</v>
      </c>
      <c r="L7" s="34"/>
      <c r="M7" s="9"/>
      <c r="N7" s="34" t="s">
        <v>33</v>
      </c>
      <c r="O7" s="34"/>
      <c r="P7" s="9"/>
      <c r="Q7" s="34" t="s">
        <v>57</v>
      </c>
      <c r="R7" s="34"/>
      <c r="S7" s="9"/>
      <c r="T7" s="34" t="s">
        <v>70</v>
      </c>
      <c r="U7" s="34"/>
      <c r="V7" s="9"/>
      <c r="W7" s="34" t="s">
        <v>73</v>
      </c>
      <c r="X7" s="34"/>
      <c r="Y7" s="9"/>
      <c r="Z7" s="34" t="s">
        <v>86</v>
      </c>
      <c r="AA7" s="34"/>
      <c r="AB7" s="9"/>
      <c r="AC7" s="34" t="s">
        <v>106</v>
      </c>
      <c r="AD7" s="34"/>
      <c r="AE7" s="9"/>
      <c r="AF7" s="24" t="s">
        <v>140</v>
      </c>
      <c r="AG7" s="9"/>
    </row>
    <row r="8" spans="1:35" ht="15.75" thickBo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>
        <f>100/48</f>
        <v>2.0833333333333335</v>
      </c>
      <c r="AI8" s="32"/>
    </row>
    <row r="9" spans="1:35" ht="15.75" thickTop="1" x14ac:dyDescent="0.25">
      <c r="A9" s="9"/>
      <c r="B9" s="1">
        <v>1</v>
      </c>
      <c r="C9" s="2">
        <v>4</v>
      </c>
      <c r="D9" s="9"/>
      <c r="E9" s="1">
        <v>5</v>
      </c>
      <c r="F9" s="2">
        <v>4</v>
      </c>
      <c r="G9" s="9"/>
      <c r="H9" s="1">
        <v>10</v>
      </c>
      <c r="I9" s="2">
        <v>4</v>
      </c>
      <c r="J9" s="9"/>
      <c r="K9" s="1">
        <v>15</v>
      </c>
      <c r="L9" s="2">
        <v>4</v>
      </c>
      <c r="M9" s="9"/>
      <c r="N9" s="1">
        <v>20</v>
      </c>
      <c r="O9" s="2">
        <v>4</v>
      </c>
      <c r="P9" s="9"/>
      <c r="Q9" s="1">
        <v>25</v>
      </c>
      <c r="R9" s="2">
        <v>4</v>
      </c>
      <c r="S9" s="9"/>
      <c r="T9" s="1">
        <v>30</v>
      </c>
      <c r="U9" s="2">
        <v>4</v>
      </c>
      <c r="V9" s="9"/>
      <c r="W9" s="1">
        <v>35</v>
      </c>
      <c r="X9" s="2">
        <v>4</v>
      </c>
      <c r="Y9" s="9"/>
      <c r="Z9" s="1">
        <v>40</v>
      </c>
      <c r="AA9" s="2">
        <v>4</v>
      </c>
      <c r="AB9" s="9"/>
      <c r="AC9" s="1">
        <v>45</v>
      </c>
      <c r="AD9" s="2">
        <v>4</v>
      </c>
      <c r="AE9" s="9"/>
      <c r="AF9" s="3"/>
      <c r="AG9" s="9"/>
      <c r="AH9">
        <f>+AH8*34</f>
        <v>70.833333333333343</v>
      </c>
      <c r="AI9" s="31"/>
    </row>
    <row r="10" spans="1:35" x14ac:dyDescent="0.25">
      <c r="A10" s="9"/>
      <c r="B10" s="35" t="s">
        <v>0</v>
      </c>
      <c r="C10" s="36"/>
      <c r="D10" s="9"/>
      <c r="E10" s="35" t="s">
        <v>10</v>
      </c>
      <c r="F10" s="36"/>
      <c r="G10" s="9"/>
      <c r="H10" s="35" t="s">
        <v>21</v>
      </c>
      <c r="I10" s="36"/>
      <c r="J10" s="9"/>
      <c r="K10" s="35" t="s">
        <v>34</v>
      </c>
      <c r="L10" s="36"/>
      <c r="M10" s="9"/>
      <c r="N10" s="35" t="s">
        <v>45</v>
      </c>
      <c r="O10" s="36"/>
      <c r="P10" s="9"/>
      <c r="Q10" s="35"/>
      <c r="R10" s="36"/>
      <c r="S10" s="9"/>
      <c r="T10" s="35" t="s">
        <v>69</v>
      </c>
      <c r="U10" s="36"/>
      <c r="V10" s="9"/>
      <c r="W10" s="35" t="s">
        <v>78</v>
      </c>
      <c r="X10" s="36"/>
      <c r="Y10" s="9"/>
      <c r="Z10" s="35" t="s">
        <v>87</v>
      </c>
      <c r="AA10" s="36"/>
      <c r="AB10" s="9"/>
      <c r="AC10" s="35" t="s">
        <v>91</v>
      </c>
      <c r="AD10" s="36"/>
      <c r="AE10" s="9"/>
      <c r="AF10" s="4" t="s">
        <v>107</v>
      </c>
      <c r="AG10" s="9"/>
      <c r="AI10" s="31"/>
    </row>
    <row r="11" spans="1:35" x14ac:dyDescent="0.25">
      <c r="A11" s="9"/>
      <c r="B11" s="37" t="s">
        <v>1</v>
      </c>
      <c r="C11" s="38"/>
      <c r="D11" s="9"/>
      <c r="E11" s="37" t="s">
        <v>11</v>
      </c>
      <c r="F11" s="38"/>
      <c r="G11" s="9"/>
      <c r="H11" s="37" t="s">
        <v>22</v>
      </c>
      <c r="I11" s="38"/>
      <c r="J11" s="9"/>
      <c r="K11" s="37" t="s">
        <v>35</v>
      </c>
      <c r="L11" s="38"/>
      <c r="M11" s="9"/>
      <c r="N11" s="37" t="s">
        <v>44</v>
      </c>
      <c r="O11" s="38"/>
      <c r="P11" s="9"/>
      <c r="Q11" s="37" t="s">
        <v>60</v>
      </c>
      <c r="R11" s="38"/>
      <c r="S11" s="9"/>
      <c r="T11" s="37" t="s">
        <v>68</v>
      </c>
      <c r="U11" s="38"/>
      <c r="V11" s="9"/>
      <c r="W11" s="37" t="s">
        <v>77</v>
      </c>
      <c r="X11" s="38"/>
      <c r="Y11" s="9"/>
      <c r="Z11" s="37" t="s">
        <v>88</v>
      </c>
      <c r="AA11" s="38"/>
      <c r="AB11" s="9"/>
      <c r="AC11" s="37" t="s">
        <v>92</v>
      </c>
      <c r="AD11" s="38"/>
      <c r="AE11" s="9"/>
      <c r="AF11" s="4" t="s">
        <v>108</v>
      </c>
      <c r="AG11" s="9"/>
      <c r="AH11">
        <f>+AH8*14</f>
        <v>29.166666666666668</v>
      </c>
      <c r="AI11" s="31"/>
    </row>
    <row r="12" spans="1:35" x14ac:dyDescent="0.25">
      <c r="A12" s="9"/>
      <c r="B12" s="39"/>
      <c r="C12" s="40"/>
      <c r="D12" s="9"/>
      <c r="E12" s="39"/>
      <c r="F12" s="40"/>
      <c r="G12" s="9"/>
      <c r="H12" s="39"/>
      <c r="I12" s="40"/>
      <c r="J12" s="9"/>
      <c r="K12" s="39"/>
      <c r="L12" s="40"/>
      <c r="M12" s="9"/>
      <c r="N12" s="39"/>
      <c r="O12" s="40"/>
      <c r="P12" s="9"/>
      <c r="Q12" s="39"/>
      <c r="R12" s="40"/>
      <c r="S12" s="9"/>
      <c r="T12" s="39"/>
      <c r="U12" s="40"/>
      <c r="V12" s="9"/>
      <c r="W12" s="39"/>
      <c r="X12" s="40"/>
      <c r="Y12" s="9"/>
      <c r="Z12" s="39"/>
      <c r="AA12" s="40"/>
      <c r="AB12" s="9"/>
      <c r="AC12" s="39"/>
      <c r="AD12" s="40"/>
      <c r="AE12" s="9"/>
      <c r="AF12" s="4" t="s">
        <v>109</v>
      </c>
      <c r="AG12" s="9"/>
    </row>
    <row r="13" spans="1:35" ht="15.75" thickBot="1" x14ac:dyDescent="0.3">
      <c r="A13" s="9"/>
      <c r="B13" s="41" t="s">
        <v>2</v>
      </c>
      <c r="C13" s="42"/>
      <c r="D13" s="9"/>
      <c r="E13" s="41" t="s">
        <v>20</v>
      </c>
      <c r="F13" s="42"/>
      <c r="G13" s="9"/>
      <c r="H13" s="41" t="s">
        <v>27</v>
      </c>
      <c r="I13" s="42"/>
      <c r="J13" s="9"/>
      <c r="K13" s="41">
        <v>10</v>
      </c>
      <c r="L13" s="42"/>
      <c r="M13" s="9"/>
      <c r="N13" s="41" t="s">
        <v>43</v>
      </c>
      <c r="O13" s="42"/>
      <c r="P13" s="9"/>
      <c r="Q13" s="41"/>
      <c r="R13" s="42"/>
      <c r="S13" s="9"/>
      <c r="T13" s="41">
        <v>26</v>
      </c>
      <c r="U13" s="42"/>
      <c r="V13" s="9"/>
      <c r="W13" s="41">
        <v>30</v>
      </c>
      <c r="X13" s="42"/>
      <c r="Y13" s="9"/>
      <c r="Z13" s="41" t="s">
        <v>89</v>
      </c>
      <c r="AA13" s="42"/>
      <c r="AB13" s="9"/>
      <c r="AC13" s="41" t="s">
        <v>90</v>
      </c>
      <c r="AD13" s="42"/>
      <c r="AE13" s="9"/>
      <c r="AF13" s="4" t="s">
        <v>110</v>
      </c>
      <c r="AG13" s="9"/>
    </row>
    <row r="14" spans="1:35" ht="16.5" thickTop="1" thickBo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4" t="s">
        <v>109</v>
      </c>
      <c r="AG14" s="9"/>
      <c r="AH14">
        <f>100/48</f>
        <v>2.0833333333333335</v>
      </c>
    </row>
    <row r="15" spans="1:35" ht="15.75" thickTop="1" x14ac:dyDescent="0.25">
      <c r="A15" s="9"/>
      <c r="B15" s="1">
        <v>2</v>
      </c>
      <c r="C15" s="2">
        <v>4</v>
      </c>
      <c r="D15" s="9"/>
      <c r="E15" s="1">
        <v>6</v>
      </c>
      <c r="F15" s="2">
        <v>4</v>
      </c>
      <c r="G15" s="9"/>
      <c r="H15" s="1">
        <v>11</v>
      </c>
      <c r="I15" s="2">
        <v>4</v>
      </c>
      <c r="J15" s="9"/>
      <c r="K15" s="1">
        <v>16</v>
      </c>
      <c r="L15" s="2">
        <v>4</v>
      </c>
      <c r="M15" s="9"/>
      <c r="N15" s="1">
        <v>21</v>
      </c>
      <c r="O15" s="2">
        <v>4</v>
      </c>
      <c r="P15" s="9"/>
      <c r="Q15" s="1">
        <v>26</v>
      </c>
      <c r="R15" s="2">
        <v>4</v>
      </c>
      <c r="S15" s="9"/>
      <c r="T15" s="1">
        <v>31</v>
      </c>
      <c r="U15" s="2">
        <v>4</v>
      </c>
      <c r="V15" s="9"/>
      <c r="W15" s="1">
        <v>36</v>
      </c>
      <c r="X15" s="2">
        <v>4</v>
      </c>
      <c r="Y15" s="9"/>
      <c r="Z15" s="1">
        <v>41</v>
      </c>
      <c r="AA15" s="2">
        <v>4</v>
      </c>
      <c r="AB15" s="9"/>
      <c r="AC15" s="1">
        <v>46</v>
      </c>
      <c r="AD15" s="2">
        <v>4</v>
      </c>
      <c r="AE15" s="9"/>
      <c r="AF15" s="4" t="s">
        <v>111</v>
      </c>
      <c r="AG15" s="9"/>
      <c r="AH15">
        <f>+AH14*39</f>
        <v>81.25</v>
      </c>
    </row>
    <row r="16" spans="1:35" x14ac:dyDescent="0.25">
      <c r="A16" s="9"/>
      <c r="B16" s="35" t="s">
        <v>3</v>
      </c>
      <c r="C16" s="36"/>
      <c r="D16" s="9"/>
      <c r="E16" s="35" t="s">
        <v>12</v>
      </c>
      <c r="F16" s="36"/>
      <c r="G16" s="9"/>
      <c r="H16" s="35" t="s">
        <v>24</v>
      </c>
      <c r="I16" s="36"/>
      <c r="J16" s="9"/>
      <c r="K16" s="35" t="s">
        <v>36</v>
      </c>
      <c r="L16" s="36"/>
      <c r="M16" s="9"/>
      <c r="N16" s="35" t="s">
        <v>49</v>
      </c>
      <c r="O16" s="36"/>
      <c r="P16" s="9"/>
      <c r="Q16" s="35" t="s">
        <v>61</v>
      </c>
      <c r="R16" s="36"/>
      <c r="S16" s="9"/>
      <c r="T16" s="35"/>
      <c r="U16" s="36"/>
      <c r="V16" s="9"/>
      <c r="W16" s="35" t="s">
        <v>79</v>
      </c>
      <c r="X16" s="36"/>
      <c r="Y16" s="9"/>
      <c r="Z16" s="35" t="s">
        <v>93</v>
      </c>
      <c r="AA16" s="36"/>
      <c r="AB16" s="9"/>
      <c r="AC16" s="35" t="s">
        <v>95</v>
      </c>
      <c r="AD16" s="36"/>
      <c r="AE16" s="9"/>
      <c r="AF16" s="4" t="s">
        <v>112</v>
      </c>
      <c r="AG16" s="9"/>
    </row>
    <row r="17" spans="1:34" x14ac:dyDescent="0.25">
      <c r="A17" s="9"/>
      <c r="B17" s="37" t="s">
        <v>14</v>
      </c>
      <c r="C17" s="38"/>
      <c r="D17" s="9"/>
      <c r="E17" s="37" t="s">
        <v>13</v>
      </c>
      <c r="F17" s="38"/>
      <c r="G17" s="9"/>
      <c r="H17" s="37" t="s">
        <v>23</v>
      </c>
      <c r="I17" s="38"/>
      <c r="J17" s="9"/>
      <c r="K17" s="37" t="s">
        <v>37</v>
      </c>
      <c r="L17" s="38"/>
      <c r="M17" s="9"/>
      <c r="N17" s="37" t="s">
        <v>48</v>
      </c>
      <c r="O17" s="38"/>
      <c r="P17" s="9"/>
      <c r="Q17" s="37" t="s">
        <v>58</v>
      </c>
      <c r="R17" s="38"/>
      <c r="S17" s="9"/>
      <c r="T17" s="37" t="s">
        <v>67</v>
      </c>
      <c r="U17" s="38"/>
      <c r="V17" s="9"/>
      <c r="W17" s="37" t="s">
        <v>80</v>
      </c>
      <c r="X17" s="38"/>
      <c r="Y17" s="9"/>
      <c r="Z17" s="37" t="s">
        <v>94</v>
      </c>
      <c r="AA17" s="38"/>
      <c r="AB17" s="9"/>
      <c r="AC17" s="37" t="s">
        <v>96</v>
      </c>
      <c r="AD17" s="38"/>
      <c r="AE17" s="9"/>
      <c r="AF17" s="4"/>
      <c r="AG17" s="9"/>
      <c r="AH17">
        <f>+AH14*9</f>
        <v>18.75</v>
      </c>
    </row>
    <row r="18" spans="1:34" x14ac:dyDescent="0.25">
      <c r="A18" s="9"/>
      <c r="B18" s="39"/>
      <c r="C18" s="40"/>
      <c r="D18" s="9"/>
      <c r="E18" s="39"/>
      <c r="F18" s="40"/>
      <c r="G18" s="9"/>
      <c r="H18" s="39"/>
      <c r="I18" s="40"/>
      <c r="J18" s="9"/>
      <c r="K18" s="39"/>
      <c r="L18" s="40"/>
      <c r="M18" s="9"/>
      <c r="N18" s="39"/>
      <c r="O18" s="40"/>
      <c r="P18" s="9"/>
      <c r="Q18" s="39"/>
      <c r="R18" s="40"/>
      <c r="S18" s="9"/>
      <c r="T18" s="39"/>
      <c r="U18" s="40"/>
      <c r="V18" s="9"/>
      <c r="W18" s="39"/>
      <c r="X18" s="40"/>
      <c r="Y18" s="9"/>
      <c r="Z18" s="39"/>
      <c r="AA18" s="40"/>
      <c r="AB18" s="9"/>
      <c r="AC18" s="39"/>
      <c r="AD18" s="40"/>
      <c r="AE18" s="9"/>
      <c r="AF18" s="4" t="s">
        <v>113</v>
      </c>
      <c r="AG18" s="9"/>
    </row>
    <row r="19" spans="1:34" ht="15.75" thickBot="1" x14ac:dyDescent="0.3">
      <c r="A19" s="9"/>
      <c r="B19" s="41" t="s">
        <v>2</v>
      </c>
      <c r="C19" s="42"/>
      <c r="D19" s="9"/>
      <c r="E19" s="41">
        <v>2</v>
      </c>
      <c r="F19" s="42"/>
      <c r="G19" s="9"/>
      <c r="H19" s="41">
        <v>6</v>
      </c>
      <c r="I19" s="42"/>
      <c r="J19" s="9"/>
      <c r="K19" s="41">
        <v>11</v>
      </c>
      <c r="L19" s="42"/>
      <c r="M19" s="9"/>
      <c r="N19" s="41" t="s">
        <v>47</v>
      </c>
      <c r="O19" s="42"/>
      <c r="P19" s="9"/>
      <c r="Q19" s="41" t="s">
        <v>59</v>
      </c>
      <c r="R19" s="42"/>
      <c r="S19" s="9"/>
      <c r="T19" s="41"/>
      <c r="U19" s="42"/>
      <c r="V19" s="9"/>
      <c r="W19" s="41">
        <v>30</v>
      </c>
      <c r="X19" s="42"/>
      <c r="Y19" s="9"/>
      <c r="Z19" s="41">
        <v>32</v>
      </c>
      <c r="AA19" s="42"/>
      <c r="AB19" s="9"/>
      <c r="AC19" s="41" t="s">
        <v>97</v>
      </c>
      <c r="AD19" s="42"/>
      <c r="AE19" s="9"/>
      <c r="AF19" s="4" t="s">
        <v>114</v>
      </c>
      <c r="AG19" s="9"/>
    </row>
    <row r="20" spans="1:34" ht="16.5" thickTop="1" thickBo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4"/>
      <c r="AG20" s="9"/>
      <c r="AH20">
        <f>100/48</f>
        <v>2.0833333333333335</v>
      </c>
    </row>
    <row r="21" spans="1:34" ht="15.75" thickTop="1" x14ac:dyDescent="0.25">
      <c r="A21" s="9"/>
      <c r="B21" s="1">
        <v>3</v>
      </c>
      <c r="C21" s="2">
        <v>4</v>
      </c>
      <c r="D21" s="9"/>
      <c r="E21" s="1">
        <v>7</v>
      </c>
      <c r="F21" s="2">
        <v>4</v>
      </c>
      <c r="G21" s="9"/>
      <c r="H21" s="1">
        <v>12</v>
      </c>
      <c r="I21" s="2">
        <v>4</v>
      </c>
      <c r="J21" s="9"/>
      <c r="K21" s="1">
        <v>17</v>
      </c>
      <c r="L21" s="2">
        <v>4</v>
      </c>
      <c r="M21" s="9"/>
      <c r="N21" s="1">
        <v>22</v>
      </c>
      <c r="O21" s="2">
        <v>4</v>
      </c>
      <c r="P21" s="9"/>
      <c r="Q21" s="1">
        <v>27</v>
      </c>
      <c r="R21" s="2">
        <v>4</v>
      </c>
      <c r="S21" s="9"/>
      <c r="T21" s="1">
        <v>32</v>
      </c>
      <c r="U21" s="2">
        <v>4</v>
      </c>
      <c r="V21" s="9"/>
      <c r="W21" s="1">
        <v>37</v>
      </c>
      <c r="X21" s="2">
        <v>4</v>
      </c>
      <c r="Y21" s="9"/>
      <c r="Z21" s="1">
        <v>42</v>
      </c>
      <c r="AA21" s="2">
        <v>4</v>
      </c>
      <c r="AB21" s="9"/>
      <c r="AC21" s="1">
        <v>47</v>
      </c>
      <c r="AD21" s="2">
        <v>4</v>
      </c>
      <c r="AE21" s="9"/>
      <c r="AF21" s="4" t="s">
        <v>115</v>
      </c>
      <c r="AG21" s="9"/>
      <c r="AH21">
        <f>+AH20*44</f>
        <v>91.666666666666671</v>
      </c>
    </row>
    <row r="22" spans="1:34" x14ac:dyDescent="0.25">
      <c r="A22" s="9"/>
      <c r="B22" s="35" t="s">
        <v>5</v>
      </c>
      <c r="C22" s="36"/>
      <c r="D22" s="9"/>
      <c r="E22" s="35" t="s">
        <v>15</v>
      </c>
      <c r="F22" s="36"/>
      <c r="G22" s="9"/>
      <c r="H22" s="35" t="s">
        <v>25</v>
      </c>
      <c r="I22" s="36"/>
      <c r="J22" s="9"/>
      <c r="K22" s="35" t="s">
        <v>38</v>
      </c>
      <c r="L22" s="36"/>
      <c r="M22" s="9"/>
      <c r="N22" s="35" t="s">
        <v>50</v>
      </c>
      <c r="O22" s="36"/>
      <c r="P22" s="9"/>
      <c r="Q22" s="35" t="s">
        <v>62</v>
      </c>
      <c r="R22" s="36"/>
      <c r="S22" s="9"/>
      <c r="T22" s="35" t="s">
        <v>147</v>
      </c>
      <c r="U22" s="36"/>
      <c r="V22" s="9"/>
      <c r="W22" s="35" t="s">
        <v>72</v>
      </c>
      <c r="X22" s="36"/>
      <c r="Y22" s="9"/>
      <c r="Z22" s="35" t="s">
        <v>98</v>
      </c>
      <c r="AA22" s="36"/>
      <c r="AB22" s="9"/>
      <c r="AC22" s="35" t="s">
        <v>148</v>
      </c>
      <c r="AD22" s="36"/>
      <c r="AE22" s="9"/>
      <c r="AF22" s="4" t="s">
        <v>108</v>
      </c>
      <c r="AG22" s="9"/>
    </row>
    <row r="23" spans="1:34" x14ac:dyDescent="0.25">
      <c r="A23" s="9"/>
      <c r="B23" s="37" t="s">
        <v>6</v>
      </c>
      <c r="C23" s="38"/>
      <c r="D23" s="9"/>
      <c r="E23" s="37" t="s">
        <v>16</v>
      </c>
      <c r="F23" s="38"/>
      <c r="G23" s="9"/>
      <c r="H23" s="37" t="s">
        <v>26</v>
      </c>
      <c r="I23" s="38"/>
      <c r="J23" s="9"/>
      <c r="K23" s="37" t="s">
        <v>39</v>
      </c>
      <c r="L23" s="38"/>
      <c r="M23" s="9"/>
      <c r="N23" s="37" t="s">
        <v>51</v>
      </c>
      <c r="O23" s="38"/>
      <c r="P23" s="9"/>
      <c r="Q23" s="37" t="s">
        <v>63</v>
      </c>
      <c r="R23" s="38"/>
      <c r="S23" s="9"/>
      <c r="T23" s="37" t="s">
        <v>74</v>
      </c>
      <c r="U23" s="38"/>
      <c r="V23" s="9"/>
      <c r="W23" s="37" t="s">
        <v>71</v>
      </c>
      <c r="X23" s="38"/>
      <c r="Y23" s="9"/>
      <c r="Z23" s="37" t="s">
        <v>99</v>
      </c>
      <c r="AA23" s="38"/>
      <c r="AB23" s="9"/>
      <c r="AC23" s="37" t="s">
        <v>104</v>
      </c>
      <c r="AD23" s="38"/>
      <c r="AE23" s="9"/>
      <c r="AF23" s="4" t="s">
        <v>109</v>
      </c>
      <c r="AG23" s="9"/>
      <c r="AH23">
        <f>+AH20*4</f>
        <v>8.3333333333333339</v>
      </c>
    </row>
    <row r="24" spans="1:34" x14ac:dyDescent="0.25">
      <c r="A24" s="9"/>
      <c r="B24" s="39"/>
      <c r="C24" s="40"/>
      <c r="D24" s="9"/>
      <c r="E24" s="39"/>
      <c r="F24" s="40"/>
      <c r="G24" s="9"/>
      <c r="H24" s="39"/>
      <c r="I24" s="40"/>
      <c r="J24" s="9"/>
      <c r="K24" s="39"/>
      <c r="L24" s="40"/>
      <c r="M24" s="9"/>
      <c r="N24" s="39"/>
      <c r="O24" s="40"/>
      <c r="P24" s="9"/>
      <c r="Q24" s="39"/>
      <c r="R24" s="40"/>
      <c r="S24" s="9"/>
      <c r="T24" s="39"/>
      <c r="U24" s="40"/>
      <c r="V24" s="9"/>
      <c r="W24" s="39"/>
      <c r="X24" s="40"/>
      <c r="Y24" s="9"/>
      <c r="Z24" s="39"/>
      <c r="AA24" s="40"/>
      <c r="AB24" s="9"/>
      <c r="AC24" s="39"/>
      <c r="AD24" s="40"/>
      <c r="AE24" s="9"/>
      <c r="AF24" s="4" t="s">
        <v>113</v>
      </c>
      <c r="AG24" s="9"/>
    </row>
    <row r="25" spans="1:34" ht="15.75" thickBot="1" x14ac:dyDescent="0.3">
      <c r="A25" s="9"/>
      <c r="B25" s="41" t="s">
        <v>2</v>
      </c>
      <c r="C25" s="42"/>
      <c r="D25" s="9"/>
      <c r="E25" s="41">
        <v>3</v>
      </c>
      <c r="F25" s="42"/>
      <c r="G25" s="9"/>
      <c r="H25" s="41">
        <v>7</v>
      </c>
      <c r="I25" s="42"/>
      <c r="J25" s="9"/>
      <c r="K25" s="41">
        <v>12</v>
      </c>
      <c r="L25" s="42"/>
      <c r="M25" s="9"/>
      <c r="N25" s="41" t="s">
        <v>46</v>
      </c>
      <c r="O25" s="42"/>
      <c r="P25" s="9"/>
      <c r="Q25" s="41">
        <v>22</v>
      </c>
      <c r="R25" s="42"/>
      <c r="S25" s="9"/>
      <c r="T25" s="41">
        <v>27</v>
      </c>
      <c r="U25" s="42"/>
      <c r="V25" s="9"/>
      <c r="W25" s="41" t="s">
        <v>85</v>
      </c>
      <c r="X25" s="42"/>
      <c r="Y25" s="9"/>
      <c r="Z25" s="41" t="s">
        <v>100</v>
      </c>
      <c r="AA25" s="42"/>
      <c r="AB25" s="9"/>
      <c r="AC25" s="41" t="s">
        <v>105</v>
      </c>
      <c r="AD25" s="42"/>
      <c r="AE25" s="9"/>
      <c r="AF25" s="4" t="s">
        <v>116</v>
      </c>
      <c r="AG25" s="9"/>
    </row>
    <row r="26" spans="1:34" ht="16.5" thickTop="1" thickBo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4" t="s">
        <v>109</v>
      </c>
      <c r="AG26" s="9"/>
    </row>
    <row r="27" spans="1:34" ht="15.75" thickTop="1" x14ac:dyDescent="0.25">
      <c r="A27" s="9"/>
      <c r="B27" s="1">
        <v>4</v>
      </c>
      <c r="C27" s="2">
        <v>4</v>
      </c>
      <c r="D27" s="9"/>
      <c r="E27" s="1">
        <v>8</v>
      </c>
      <c r="F27" s="2">
        <v>4</v>
      </c>
      <c r="G27" s="9"/>
      <c r="H27" s="1">
        <v>13</v>
      </c>
      <c r="I27" s="2">
        <v>4</v>
      </c>
      <c r="J27" s="9"/>
      <c r="K27" s="1">
        <v>18</v>
      </c>
      <c r="L27" s="2">
        <v>4</v>
      </c>
      <c r="M27" s="9"/>
      <c r="N27" s="1">
        <v>23</v>
      </c>
      <c r="O27" s="2">
        <v>4</v>
      </c>
      <c r="P27" s="9"/>
      <c r="Q27" s="1">
        <v>28</v>
      </c>
      <c r="R27" s="2">
        <v>4</v>
      </c>
      <c r="S27" s="9"/>
      <c r="T27" s="1">
        <v>33</v>
      </c>
      <c r="U27" s="2">
        <v>4</v>
      </c>
      <c r="V27" s="9"/>
      <c r="W27" s="1">
        <v>38</v>
      </c>
      <c r="X27" s="2">
        <v>4</v>
      </c>
      <c r="Y27" s="9"/>
      <c r="Z27" s="1">
        <v>43</v>
      </c>
      <c r="AA27" s="2">
        <v>4</v>
      </c>
      <c r="AB27" s="9"/>
      <c r="AC27" s="1">
        <v>48</v>
      </c>
      <c r="AD27" s="2">
        <v>4</v>
      </c>
      <c r="AE27" s="9"/>
      <c r="AF27" s="4" t="s">
        <v>117</v>
      </c>
      <c r="AG27" s="9"/>
    </row>
    <row r="28" spans="1:34" x14ac:dyDescent="0.25">
      <c r="A28" s="9"/>
      <c r="B28" s="35" t="s">
        <v>7</v>
      </c>
      <c r="C28" s="36"/>
      <c r="D28" s="9"/>
      <c r="E28" s="35" t="s">
        <v>17</v>
      </c>
      <c r="F28" s="36"/>
      <c r="G28" s="9"/>
      <c r="H28" s="35" t="s">
        <v>28</v>
      </c>
      <c r="I28" s="36"/>
      <c r="J28" s="9"/>
      <c r="K28" s="35" t="s">
        <v>40</v>
      </c>
      <c r="L28" s="36"/>
      <c r="M28" s="9"/>
      <c r="N28" s="35" t="s">
        <v>52</v>
      </c>
      <c r="O28" s="36"/>
      <c r="P28" s="9"/>
      <c r="Q28" s="35" t="s">
        <v>64</v>
      </c>
      <c r="R28" s="36"/>
      <c r="S28" s="9"/>
      <c r="T28" s="35" t="s">
        <v>84</v>
      </c>
      <c r="U28" s="36"/>
      <c r="V28" s="9"/>
      <c r="W28" s="35" t="s">
        <v>84</v>
      </c>
      <c r="X28" s="36"/>
      <c r="Y28" s="9"/>
      <c r="Z28" s="35" t="s">
        <v>101</v>
      </c>
      <c r="AA28" s="36"/>
      <c r="AB28" s="9"/>
      <c r="AC28" s="35"/>
      <c r="AD28" s="36"/>
      <c r="AE28" s="9"/>
      <c r="AF28" s="4" t="s">
        <v>4</v>
      </c>
      <c r="AG28" s="9"/>
    </row>
    <row r="29" spans="1:34" ht="15" customHeight="1" x14ac:dyDescent="0.25">
      <c r="A29" s="9"/>
      <c r="B29" s="37" t="s">
        <v>8</v>
      </c>
      <c r="C29" s="38"/>
      <c r="D29" s="9"/>
      <c r="E29" s="37" t="s">
        <v>18</v>
      </c>
      <c r="F29" s="38"/>
      <c r="G29" s="9"/>
      <c r="H29" s="37" t="s">
        <v>29</v>
      </c>
      <c r="I29" s="38"/>
      <c r="J29" s="9"/>
      <c r="K29" s="37" t="s">
        <v>41</v>
      </c>
      <c r="L29" s="38"/>
      <c r="M29" s="9"/>
      <c r="N29" s="37" t="s">
        <v>53</v>
      </c>
      <c r="O29" s="38"/>
      <c r="P29" s="9"/>
      <c r="Q29" s="37" t="s">
        <v>146</v>
      </c>
      <c r="R29" s="38"/>
      <c r="S29" s="9"/>
      <c r="T29" s="37" t="s">
        <v>75</v>
      </c>
      <c r="U29" s="38"/>
      <c r="V29" s="9"/>
      <c r="W29" s="37" t="s">
        <v>83</v>
      </c>
      <c r="X29" s="38"/>
      <c r="Y29" s="9"/>
      <c r="Z29" s="37" t="s">
        <v>102</v>
      </c>
      <c r="AA29" s="38"/>
      <c r="AB29" s="9"/>
      <c r="AC29" s="37" t="s">
        <v>149</v>
      </c>
      <c r="AD29" s="38"/>
      <c r="AE29" s="9"/>
      <c r="AF29" s="4" t="s">
        <v>119</v>
      </c>
      <c r="AG29" s="9"/>
    </row>
    <row r="30" spans="1:34" x14ac:dyDescent="0.25">
      <c r="A30" s="9"/>
      <c r="B30" s="39"/>
      <c r="C30" s="40"/>
      <c r="D30" s="9"/>
      <c r="E30" s="39"/>
      <c r="F30" s="40"/>
      <c r="G30" s="9"/>
      <c r="H30" s="39"/>
      <c r="I30" s="40"/>
      <c r="J30" s="9"/>
      <c r="K30" s="39"/>
      <c r="L30" s="40"/>
      <c r="M30" s="9"/>
      <c r="N30" s="39"/>
      <c r="O30" s="40"/>
      <c r="P30" s="9"/>
      <c r="Q30" s="39"/>
      <c r="R30" s="40"/>
      <c r="S30" s="9"/>
      <c r="T30" s="39"/>
      <c r="U30" s="40"/>
      <c r="V30" s="9"/>
      <c r="W30" s="39"/>
      <c r="X30" s="40"/>
      <c r="Y30" s="9"/>
      <c r="Z30" s="39"/>
      <c r="AA30" s="40"/>
      <c r="AB30" s="9"/>
      <c r="AC30" s="39"/>
      <c r="AD30" s="40"/>
      <c r="AE30" s="9"/>
      <c r="AF30" s="4" t="s">
        <v>118</v>
      </c>
      <c r="AG30" s="9"/>
    </row>
    <row r="31" spans="1:34" ht="15.75" thickBot="1" x14ac:dyDescent="0.3">
      <c r="A31" s="9"/>
      <c r="B31" s="41" t="s">
        <v>2</v>
      </c>
      <c r="C31" s="42"/>
      <c r="D31" s="9"/>
      <c r="E31" s="41">
        <v>3</v>
      </c>
      <c r="F31" s="42"/>
      <c r="G31" s="9"/>
      <c r="H31" s="41">
        <v>6</v>
      </c>
      <c r="I31" s="42"/>
      <c r="J31" s="9"/>
      <c r="K31" s="41">
        <v>12</v>
      </c>
      <c r="L31" s="42"/>
      <c r="M31" s="9"/>
      <c r="N31" s="41">
        <v>18</v>
      </c>
      <c r="O31" s="42"/>
      <c r="P31" s="9"/>
      <c r="Q31" s="41">
        <v>12</v>
      </c>
      <c r="R31" s="42"/>
      <c r="S31" s="9"/>
      <c r="T31" s="41" t="s">
        <v>81</v>
      </c>
      <c r="U31" s="42"/>
      <c r="V31" s="9"/>
      <c r="W31" s="41">
        <v>33</v>
      </c>
      <c r="X31" s="42"/>
      <c r="Y31" s="9"/>
      <c r="Z31" s="41">
        <v>38</v>
      </c>
      <c r="AA31" s="42"/>
      <c r="AB31" s="9"/>
      <c r="AC31" s="41"/>
      <c r="AD31" s="42"/>
      <c r="AE31" s="9"/>
      <c r="AF31" s="5" t="s">
        <v>162</v>
      </c>
      <c r="AG31" s="9"/>
    </row>
    <row r="32" spans="1:34" ht="16.5" thickTop="1" thickBo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ht="15.75" thickTop="1" x14ac:dyDescent="0.25">
      <c r="A33" s="9"/>
      <c r="B33" s="9"/>
      <c r="C33" s="9"/>
      <c r="D33" s="9"/>
      <c r="E33" s="1">
        <v>9</v>
      </c>
      <c r="F33" s="2">
        <v>4</v>
      </c>
      <c r="G33" s="9"/>
      <c r="H33" s="1">
        <v>14</v>
      </c>
      <c r="I33" s="2">
        <v>4</v>
      </c>
      <c r="J33" s="9"/>
      <c r="K33" s="1">
        <v>19</v>
      </c>
      <c r="L33" s="2">
        <v>4</v>
      </c>
      <c r="M33" s="9"/>
      <c r="N33" s="1">
        <v>24</v>
      </c>
      <c r="O33" s="2">
        <v>4</v>
      </c>
      <c r="P33" s="9"/>
      <c r="Q33" s="1">
        <v>29</v>
      </c>
      <c r="R33" s="2">
        <v>4</v>
      </c>
      <c r="S33" s="9"/>
      <c r="T33" s="1">
        <v>34</v>
      </c>
      <c r="U33" s="2">
        <v>4</v>
      </c>
      <c r="V33" s="9"/>
      <c r="W33" s="1">
        <v>39</v>
      </c>
      <c r="X33" s="2">
        <v>4</v>
      </c>
      <c r="Y33" s="9"/>
      <c r="Z33" s="1">
        <v>44</v>
      </c>
      <c r="AA33" s="2">
        <v>4</v>
      </c>
      <c r="AB33" s="9"/>
      <c r="AC33" s="9"/>
      <c r="AD33" s="9"/>
      <c r="AE33" s="9"/>
      <c r="AF33" s="9"/>
      <c r="AG33" s="9"/>
    </row>
    <row r="34" spans="1:33" x14ac:dyDescent="0.25">
      <c r="A34" s="9"/>
      <c r="B34" s="9"/>
      <c r="C34" s="9"/>
      <c r="D34" s="9"/>
      <c r="E34" s="35" t="s">
        <v>17</v>
      </c>
      <c r="F34" s="36"/>
      <c r="G34" s="9"/>
      <c r="H34" s="35" t="s">
        <v>144</v>
      </c>
      <c r="I34" s="36"/>
      <c r="J34" s="9"/>
      <c r="K34" s="35" t="s">
        <v>55</v>
      </c>
      <c r="L34" s="36"/>
      <c r="M34" s="9"/>
      <c r="N34" s="35" t="s">
        <v>54</v>
      </c>
      <c r="O34" s="36"/>
      <c r="P34" s="9"/>
      <c r="Q34" s="35" t="s">
        <v>65</v>
      </c>
      <c r="R34" s="36"/>
      <c r="S34" s="9"/>
      <c r="T34" s="35"/>
      <c r="U34" s="36"/>
      <c r="V34" s="9"/>
      <c r="W34" s="35"/>
      <c r="X34" s="36"/>
      <c r="Y34" s="9"/>
      <c r="Z34" s="35"/>
      <c r="AA34" s="36"/>
      <c r="AB34" s="9"/>
      <c r="AC34" s="11"/>
      <c r="AD34" s="9"/>
      <c r="AE34" s="9"/>
      <c r="AF34" s="9"/>
      <c r="AG34" s="9"/>
    </row>
    <row r="35" spans="1:33" ht="15" customHeight="1" x14ac:dyDescent="0.25">
      <c r="A35" s="9"/>
      <c r="B35" s="9"/>
      <c r="C35" s="9"/>
      <c r="D35" s="9"/>
      <c r="E35" s="37" t="s">
        <v>19</v>
      </c>
      <c r="F35" s="38"/>
      <c r="G35" s="9"/>
      <c r="H35" s="37" t="s">
        <v>145</v>
      </c>
      <c r="I35" s="38"/>
      <c r="J35" s="9"/>
      <c r="K35" s="37" t="s">
        <v>42</v>
      </c>
      <c r="L35" s="38"/>
      <c r="M35" s="9"/>
      <c r="N35" s="37" t="s">
        <v>56</v>
      </c>
      <c r="O35" s="38"/>
      <c r="P35" s="9"/>
      <c r="Q35" s="37" t="s">
        <v>66</v>
      </c>
      <c r="R35" s="38"/>
      <c r="S35" s="9"/>
      <c r="T35" s="37" t="s">
        <v>76</v>
      </c>
      <c r="U35" s="38"/>
      <c r="V35" s="9"/>
      <c r="W35" s="37" t="s">
        <v>82</v>
      </c>
      <c r="X35" s="38"/>
      <c r="Y35" s="9"/>
      <c r="Z35" s="37" t="s">
        <v>103</v>
      </c>
      <c r="AA35" s="38"/>
      <c r="AB35" s="9"/>
      <c r="AC35" s="11"/>
      <c r="AD35" s="9"/>
      <c r="AE35" s="9"/>
      <c r="AF35" s="24"/>
      <c r="AG35" s="9"/>
    </row>
    <row r="36" spans="1:33" x14ac:dyDescent="0.25">
      <c r="A36" s="9"/>
      <c r="B36" s="9"/>
      <c r="C36" s="9"/>
      <c r="D36" s="9"/>
      <c r="E36" s="39"/>
      <c r="F36" s="40"/>
      <c r="G36" s="9"/>
      <c r="H36" s="39"/>
      <c r="I36" s="40"/>
      <c r="J36" s="9"/>
      <c r="K36" s="39"/>
      <c r="L36" s="40"/>
      <c r="M36" s="9"/>
      <c r="N36" s="39"/>
      <c r="O36" s="40"/>
      <c r="P36" s="9"/>
      <c r="Q36" s="39"/>
      <c r="R36" s="40"/>
      <c r="S36" s="9"/>
      <c r="T36" s="39"/>
      <c r="U36" s="40"/>
      <c r="V36" s="9"/>
      <c r="W36" s="39"/>
      <c r="X36" s="40"/>
      <c r="Y36" s="9"/>
      <c r="Z36" s="39"/>
      <c r="AA36" s="40"/>
      <c r="AB36" s="9"/>
      <c r="AC36" s="11"/>
      <c r="AD36" s="9"/>
      <c r="AE36" s="9"/>
      <c r="AF36" s="9"/>
      <c r="AG36" s="9"/>
    </row>
    <row r="37" spans="1:33" ht="15.75" customHeight="1" thickBot="1" x14ac:dyDescent="0.3">
      <c r="A37" s="9"/>
      <c r="B37" s="9"/>
      <c r="C37" s="9"/>
      <c r="D37" s="9"/>
      <c r="E37" s="41">
        <v>4</v>
      </c>
      <c r="F37" s="42"/>
      <c r="G37" s="9"/>
      <c r="H37" s="41" t="s">
        <v>30</v>
      </c>
      <c r="I37" s="42"/>
      <c r="J37" s="9"/>
      <c r="K37" s="41">
        <v>13</v>
      </c>
      <c r="L37" s="42"/>
      <c r="M37" s="9"/>
      <c r="N37" s="41">
        <v>19</v>
      </c>
      <c r="O37" s="42"/>
      <c r="P37" s="9"/>
      <c r="Q37" s="41">
        <v>23</v>
      </c>
      <c r="R37" s="42"/>
      <c r="S37" s="9"/>
      <c r="T37" s="41"/>
      <c r="U37" s="42"/>
      <c r="V37" s="9"/>
      <c r="W37" s="41"/>
      <c r="X37" s="42"/>
      <c r="Y37" s="9"/>
      <c r="Z37" s="41"/>
      <c r="AA37" s="42"/>
      <c r="AB37" s="9"/>
      <c r="AC37" s="11"/>
      <c r="AD37" s="9"/>
      <c r="AE37" s="9"/>
      <c r="AF37" s="9"/>
      <c r="AG37" s="9"/>
    </row>
    <row r="38" spans="1:33" ht="16.5" thickTop="1" thickBo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1"/>
      <c r="AD38" s="9"/>
      <c r="AE38" s="9"/>
      <c r="AF38" s="9"/>
      <c r="AG38" s="9"/>
    </row>
    <row r="39" spans="1:33" ht="18.75" x14ac:dyDescent="0.3">
      <c r="A39" s="9"/>
      <c r="B39" s="9"/>
      <c r="C39" s="9"/>
      <c r="D39" s="12"/>
      <c r="E39" s="25" t="s">
        <v>120</v>
      </c>
      <c r="F39" s="22"/>
      <c r="G39" s="13"/>
      <c r="H39" s="14"/>
      <c r="I39" s="9"/>
      <c r="J39" s="9"/>
      <c r="K39" s="9"/>
      <c r="L39" s="9"/>
      <c r="M39" s="9"/>
      <c r="N39" s="9"/>
      <c r="O39" s="9"/>
      <c r="P39" s="9"/>
      <c r="Q39" s="9"/>
      <c r="R39" s="9"/>
      <c r="S39" s="48"/>
      <c r="T39" s="48"/>
      <c r="U39" s="48"/>
      <c r="V39" s="48"/>
      <c r="W39" s="48"/>
      <c r="X39" s="9"/>
      <c r="Y39" s="9"/>
      <c r="Z39" s="9"/>
      <c r="AA39" s="9"/>
      <c r="AB39" s="9"/>
      <c r="AC39" s="9"/>
      <c r="AD39" s="10"/>
      <c r="AE39" s="9"/>
      <c r="AF39" s="9"/>
      <c r="AG39" s="9"/>
    </row>
    <row r="40" spans="1:33" ht="19.5" thickBot="1" x14ac:dyDescent="0.35">
      <c r="A40" s="9"/>
      <c r="B40" s="9"/>
      <c r="C40" s="9"/>
      <c r="D40" s="19"/>
      <c r="E40" s="26" t="s">
        <v>121</v>
      </c>
      <c r="F40" s="23"/>
      <c r="G40" s="20"/>
      <c r="H40" s="2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30"/>
      <c r="U40" s="9"/>
      <c r="V40" s="9"/>
      <c r="W40" s="18"/>
      <c r="X40" s="9"/>
      <c r="Y40" s="9"/>
      <c r="Z40" s="9"/>
      <c r="AA40" s="9"/>
      <c r="AB40" s="9"/>
      <c r="AC40" s="9"/>
      <c r="AD40" s="10"/>
      <c r="AE40" s="9"/>
      <c r="AF40" s="9"/>
      <c r="AG40" s="9"/>
    </row>
    <row r="41" spans="1:33" ht="19.5" thickBot="1" x14ac:dyDescent="0.35">
      <c r="A41" s="9"/>
      <c r="B41" s="9"/>
      <c r="C41" s="9"/>
      <c r="D41" s="12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9"/>
      <c r="S41" s="9"/>
      <c r="T41" s="9"/>
      <c r="U41" s="9"/>
      <c r="V41" s="9"/>
      <c r="W41" s="18"/>
      <c r="X41" s="9"/>
      <c r="Y41" s="9"/>
      <c r="Z41" s="9"/>
      <c r="AA41" s="9"/>
      <c r="AB41" s="9"/>
      <c r="AC41" s="9"/>
      <c r="AD41" s="10"/>
      <c r="AE41" s="9"/>
      <c r="AF41" s="9"/>
      <c r="AG41" s="9"/>
    </row>
    <row r="42" spans="1:33" ht="15.75" thickTop="1" x14ac:dyDescent="0.25">
      <c r="A42" s="9"/>
      <c r="B42" s="9"/>
      <c r="C42" s="9"/>
      <c r="D42" s="15"/>
      <c r="E42" s="1" t="s">
        <v>109</v>
      </c>
      <c r="F42" s="2">
        <v>4</v>
      </c>
      <c r="G42" s="16"/>
      <c r="H42" s="1" t="s">
        <v>113</v>
      </c>
      <c r="I42" s="2">
        <v>4</v>
      </c>
      <c r="J42" s="16"/>
      <c r="K42" s="1" t="s">
        <v>115</v>
      </c>
      <c r="L42" s="2">
        <v>4</v>
      </c>
      <c r="M42" s="16"/>
      <c r="N42" s="1" t="s">
        <v>111</v>
      </c>
      <c r="O42" s="2">
        <v>4</v>
      </c>
      <c r="P42" s="16"/>
      <c r="Q42" s="17"/>
      <c r="R42" s="9"/>
      <c r="S42" s="9"/>
      <c r="T42" s="11"/>
      <c r="U42" s="11"/>
      <c r="V42" s="9"/>
      <c r="W42" s="11"/>
      <c r="X42" s="11"/>
      <c r="Y42" s="16"/>
      <c r="Z42" s="11"/>
      <c r="AA42" s="11"/>
      <c r="AB42" s="16"/>
      <c r="AC42" s="9"/>
      <c r="AD42" s="9"/>
      <c r="AE42" s="9"/>
      <c r="AF42" s="6" t="s">
        <v>150</v>
      </c>
      <c r="AG42" s="9"/>
    </row>
    <row r="43" spans="1:33" x14ac:dyDescent="0.25">
      <c r="A43" s="9"/>
      <c r="B43" s="9"/>
      <c r="C43" s="9"/>
      <c r="D43" s="15"/>
      <c r="E43" s="35" t="s">
        <v>122</v>
      </c>
      <c r="F43" s="36"/>
      <c r="G43" s="9"/>
      <c r="H43" s="35" t="s">
        <v>130</v>
      </c>
      <c r="I43" s="36"/>
      <c r="J43" s="9"/>
      <c r="K43" s="35" t="s">
        <v>163</v>
      </c>
      <c r="L43" s="36"/>
      <c r="M43" s="9"/>
      <c r="N43" s="35" t="s">
        <v>124</v>
      </c>
      <c r="O43" s="36"/>
      <c r="P43" s="9"/>
      <c r="Q43" s="17"/>
      <c r="R43" s="9"/>
      <c r="S43" s="9"/>
      <c r="T43" s="43"/>
      <c r="U43" s="43"/>
      <c r="V43" s="9"/>
      <c r="W43" s="43"/>
      <c r="X43" s="43"/>
      <c r="Y43" s="9"/>
      <c r="Z43" s="43"/>
      <c r="AA43" s="43"/>
      <c r="AB43" s="9"/>
      <c r="AC43" s="9"/>
      <c r="AD43" s="9"/>
      <c r="AE43" s="9"/>
      <c r="AF43" s="7" t="s">
        <v>114</v>
      </c>
      <c r="AG43" s="9"/>
    </row>
    <row r="44" spans="1:33" x14ac:dyDescent="0.25">
      <c r="A44" s="9"/>
      <c r="B44" s="9"/>
      <c r="C44" s="9"/>
      <c r="D44" s="15"/>
      <c r="E44" s="37" t="s">
        <v>123</v>
      </c>
      <c r="F44" s="38"/>
      <c r="G44" s="9"/>
      <c r="H44" s="37" t="s">
        <v>131</v>
      </c>
      <c r="I44" s="38"/>
      <c r="J44" s="9"/>
      <c r="K44" s="37" t="s">
        <v>134</v>
      </c>
      <c r="L44" s="38"/>
      <c r="M44" s="9"/>
      <c r="N44" s="37" t="s">
        <v>125</v>
      </c>
      <c r="O44" s="38"/>
      <c r="P44" s="9"/>
      <c r="Q44" s="17"/>
      <c r="R44" s="9"/>
      <c r="S44" s="9"/>
      <c r="T44" s="45"/>
      <c r="U44" s="45"/>
      <c r="V44" s="9"/>
      <c r="W44" s="45"/>
      <c r="X44" s="45"/>
      <c r="Y44" s="9"/>
      <c r="Z44" s="45"/>
      <c r="AA44" s="45"/>
      <c r="AB44" s="11"/>
      <c r="AC44" s="9"/>
      <c r="AD44" s="9"/>
      <c r="AE44" s="9"/>
      <c r="AF44" s="7" t="s">
        <v>108</v>
      </c>
      <c r="AG44" s="9"/>
    </row>
    <row r="45" spans="1:33" x14ac:dyDescent="0.25">
      <c r="A45" s="9"/>
      <c r="B45" s="9"/>
      <c r="C45" s="9"/>
      <c r="D45" s="15"/>
      <c r="E45" s="39"/>
      <c r="F45" s="40"/>
      <c r="G45" s="9"/>
      <c r="H45" s="39"/>
      <c r="I45" s="40"/>
      <c r="J45" s="9"/>
      <c r="K45" s="39"/>
      <c r="L45" s="40"/>
      <c r="M45" s="9"/>
      <c r="N45" s="39"/>
      <c r="O45" s="40"/>
      <c r="P45" s="9"/>
      <c r="Q45" s="17"/>
      <c r="R45" s="9"/>
      <c r="S45" s="9"/>
      <c r="T45" s="45"/>
      <c r="U45" s="45"/>
      <c r="V45" s="9"/>
      <c r="W45" s="45"/>
      <c r="X45" s="45"/>
      <c r="Y45" s="9"/>
      <c r="Z45" s="45"/>
      <c r="AA45" s="45"/>
      <c r="AB45" s="28"/>
      <c r="AC45" s="9"/>
      <c r="AD45" s="9"/>
      <c r="AE45" s="9"/>
      <c r="AF45" s="7" t="s">
        <v>109</v>
      </c>
      <c r="AG45" s="9"/>
    </row>
    <row r="46" spans="1:33" ht="15.75" thickBot="1" x14ac:dyDescent="0.3">
      <c r="A46" s="9"/>
      <c r="B46" s="9"/>
      <c r="C46" s="9"/>
      <c r="D46" s="15"/>
      <c r="E46" s="41" t="s">
        <v>152</v>
      </c>
      <c r="F46" s="42"/>
      <c r="G46" s="9"/>
      <c r="H46" s="41" t="s">
        <v>153</v>
      </c>
      <c r="I46" s="42"/>
      <c r="J46" s="9"/>
      <c r="K46" s="41" t="s">
        <v>154</v>
      </c>
      <c r="L46" s="42"/>
      <c r="M46" s="9"/>
      <c r="N46" s="41" t="s">
        <v>160</v>
      </c>
      <c r="O46" s="42"/>
      <c r="P46" s="9"/>
      <c r="Q46" s="17"/>
      <c r="R46" s="9"/>
      <c r="S46" s="9"/>
      <c r="T46" s="44"/>
      <c r="U46" s="44"/>
      <c r="V46" s="9"/>
      <c r="W46" s="44"/>
      <c r="X46" s="44"/>
      <c r="Y46" s="9"/>
      <c r="Z46" s="44"/>
      <c r="AA46" s="44"/>
      <c r="AB46" s="27"/>
      <c r="AC46" s="9"/>
      <c r="AD46" s="9"/>
      <c r="AE46" s="9"/>
      <c r="AF46" s="8" t="s">
        <v>151</v>
      </c>
      <c r="AG46" s="9"/>
    </row>
    <row r="47" spans="1:33" ht="20.25" thickTop="1" thickBot="1" x14ac:dyDescent="0.35">
      <c r="A47" s="9"/>
      <c r="B47" s="9"/>
      <c r="C47" s="9"/>
      <c r="D47" s="15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7"/>
      <c r="R47" s="9"/>
      <c r="S47" s="9"/>
      <c r="T47" s="9"/>
      <c r="U47" s="9"/>
      <c r="V47" s="9"/>
      <c r="W47" s="18"/>
      <c r="X47" s="9"/>
      <c r="Y47" s="9"/>
      <c r="Z47" s="9"/>
      <c r="AA47" s="27"/>
      <c r="AB47" s="27"/>
      <c r="AC47" s="9"/>
      <c r="AD47" s="43"/>
      <c r="AE47" s="43"/>
      <c r="AF47" s="9"/>
      <c r="AG47" s="9"/>
    </row>
    <row r="48" spans="1:33" ht="15.75" thickTop="1" x14ac:dyDescent="0.25">
      <c r="A48" s="9"/>
      <c r="B48" s="9"/>
      <c r="C48" s="9"/>
      <c r="D48" s="15"/>
      <c r="E48" s="1" t="s">
        <v>110</v>
      </c>
      <c r="F48" s="2">
        <v>4</v>
      </c>
      <c r="G48" s="16"/>
      <c r="H48" s="1" t="s">
        <v>114</v>
      </c>
      <c r="I48" s="2">
        <v>4</v>
      </c>
      <c r="J48" s="16"/>
      <c r="K48" s="1" t="s">
        <v>156</v>
      </c>
      <c r="L48" s="2">
        <v>4</v>
      </c>
      <c r="M48" s="16"/>
      <c r="N48" s="1" t="s">
        <v>157</v>
      </c>
      <c r="O48" s="2">
        <v>4</v>
      </c>
      <c r="P48" s="16"/>
      <c r="Q48" s="17"/>
      <c r="R48" s="9"/>
      <c r="S48" s="9"/>
      <c r="T48" s="11"/>
      <c r="U48" s="11"/>
      <c r="V48" s="9"/>
      <c r="W48" s="11"/>
      <c r="X48" s="11"/>
      <c r="Y48" s="9"/>
      <c r="Z48" s="11"/>
      <c r="AA48" s="11"/>
      <c r="AB48" s="29"/>
      <c r="AC48" s="9"/>
      <c r="AD48" s="45"/>
      <c r="AE48" s="45"/>
      <c r="AF48" s="9"/>
      <c r="AG48" s="9"/>
    </row>
    <row r="49" spans="1:33" x14ac:dyDescent="0.25">
      <c r="A49" s="9"/>
      <c r="B49" s="9"/>
      <c r="C49" s="9"/>
      <c r="D49" s="15"/>
      <c r="E49" s="35" t="s">
        <v>126</v>
      </c>
      <c r="F49" s="36"/>
      <c r="G49" s="9"/>
      <c r="H49" s="35" t="s">
        <v>132</v>
      </c>
      <c r="I49" s="36"/>
      <c r="J49" s="9"/>
      <c r="K49" s="35" t="s">
        <v>135</v>
      </c>
      <c r="L49" s="36"/>
      <c r="M49" s="9"/>
      <c r="N49" s="35" t="s">
        <v>128</v>
      </c>
      <c r="O49" s="36"/>
      <c r="P49" s="9"/>
      <c r="Q49" s="17"/>
      <c r="R49" s="9"/>
      <c r="S49" s="9"/>
      <c r="T49" s="43"/>
      <c r="U49" s="43"/>
      <c r="V49" s="9"/>
      <c r="W49" s="43"/>
      <c r="X49" s="43"/>
      <c r="Y49" s="9"/>
      <c r="Z49" s="43"/>
      <c r="AA49" s="43"/>
      <c r="AB49" s="9"/>
      <c r="AC49" s="9"/>
      <c r="AD49" s="45"/>
      <c r="AE49" s="45"/>
      <c r="AF49" s="9"/>
      <c r="AG49" s="9"/>
    </row>
    <row r="50" spans="1:33" ht="18.75" customHeight="1" x14ac:dyDescent="0.25">
      <c r="A50" s="9"/>
      <c r="B50" s="9"/>
      <c r="C50" s="9"/>
      <c r="D50" s="15"/>
      <c r="E50" s="37" t="s">
        <v>127</v>
      </c>
      <c r="F50" s="38"/>
      <c r="G50" s="9"/>
      <c r="H50" s="37" t="s">
        <v>133</v>
      </c>
      <c r="I50" s="38"/>
      <c r="J50" s="9"/>
      <c r="K50" s="37" t="s">
        <v>136</v>
      </c>
      <c r="L50" s="38"/>
      <c r="M50" s="9"/>
      <c r="N50" s="37" t="s">
        <v>129</v>
      </c>
      <c r="O50" s="38"/>
      <c r="P50" s="9"/>
      <c r="Q50" s="17"/>
      <c r="R50" s="9"/>
      <c r="S50" s="9"/>
      <c r="T50" s="45"/>
      <c r="U50" s="45"/>
      <c r="V50" s="9"/>
      <c r="W50" s="45"/>
      <c r="X50" s="45"/>
      <c r="Y50" s="9"/>
      <c r="Z50" s="45"/>
      <c r="AA50" s="45"/>
      <c r="AB50" s="11"/>
      <c r="AC50" s="9"/>
      <c r="AD50" s="44"/>
      <c r="AE50" s="44"/>
      <c r="AF50" s="9"/>
      <c r="AG50" s="9"/>
    </row>
    <row r="51" spans="1:33" x14ac:dyDescent="0.25">
      <c r="A51" s="9"/>
      <c r="B51" s="9"/>
      <c r="C51" s="9"/>
      <c r="D51" s="15"/>
      <c r="E51" s="39"/>
      <c r="F51" s="40"/>
      <c r="G51" s="9"/>
      <c r="H51" s="39"/>
      <c r="I51" s="40"/>
      <c r="J51" s="9"/>
      <c r="K51" s="39"/>
      <c r="L51" s="40"/>
      <c r="M51" s="9"/>
      <c r="N51" s="39"/>
      <c r="O51" s="40"/>
      <c r="P51" s="9"/>
      <c r="Q51" s="17"/>
      <c r="R51" s="9"/>
      <c r="S51" s="9"/>
      <c r="T51" s="45"/>
      <c r="U51" s="45"/>
      <c r="V51" s="9"/>
      <c r="W51" s="45"/>
      <c r="X51" s="45"/>
      <c r="Y51" s="9"/>
      <c r="Z51" s="45"/>
      <c r="AA51" s="45"/>
      <c r="AB51" s="28"/>
      <c r="AC51" s="9"/>
      <c r="AD51" s="9"/>
      <c r="AE51" s="9"/>
      <c r="AF51" s="9"/>
      <c r="AG51" s="9"/>
    </row>
    <row r="52" spans="1:33" ht="15.75" thickBot="1" x14ac:dyDescent="0.3">
      <c r="A52" s="9"/>
      <c r="B52" s="9"/>
      <c r="C52" s="9"/>
      <c r="D52" s="15"/>
      <c r="E52" s="41">
        <v>18</v>
      </c>
      <c r="F52" s="42"/>
      <c r="G52" s="9"/>
      <c r="H52" s="41">
        <v>35</v>
      </c>
      <c r="I52" s="42"/>
      <c r="J52" s="9"/>
      <c r="K52" s="41" t="s">
        <v>159</v>
      </c>
      <c r="L52" s="42"/>
      <c r="M52" s="9"/>
      <c r="N52" s="41">
        <v>42</v>
      </c>
      <c r="O52" s="42"/>
      <c r="P52" s="9"/>
      <c r="Q52" s="17"/>
      <c r="R52" s="9"/>
      <c r="S52" s="9"/>
      <c r="T52" s="44"/>
      <c r="U52" s="44"/>
      <c r="V52" s="9"/>
      <c r="W52" s="44"/>
      <c r="X52" s="44"/>
      <c r="Y52" s="9"/>
      <c r="Z52" s="44"/>
      <c r="AA52" s="44"/>
      <c r="AB52" s="27"/>
      <c r="AC52" s="9"/>
      <c r="AD52" s="9"/>
      <c r="AE52" s="9"/>
      <c r="AF52" s="9"/>
      <c r="AG52" s="9"/>
    </row>
    <row r="53" spans="1:33" ht="16.5" thickTop="1" thickBot="1" x14ac:dyDescent="0.3">
      <c r="A53" s="9"/>
      <c r="B53" s="9"/>
      <c r="C53" s="9"/>
      <c r="D53" s="15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7"/>
      <c r="R53" s="9"/>
      <c r="S53" s="9"/>
      <c r="T53" s="9"/>
      <c r="U53" s="9"/>
      <c r="V53" s="9"/>
      <c r="W53" s="9"/>
      <c r="X53" s="9"/>
      <c r="Y53" s="9"/>
      <c r="Z53" s="9"/>
      <c r="AA53" s="27"/>
      <c r="AB53" s="27"/>
      <c r="AC53" s="9"/>
      <c r="AD53" s="9"/>
      <c r="AE53" s="9"/>
      <c r="AF53" s="9"/>
      <c r="AG53" s="9"/>
    </row>
    <row r="54" spans="1:33" ht="15.75" thickTop="1" x14ac:dyDescent="0.25">
      <c r="A54" s="9"/>
      <c r="B54" s="9"/>
      <c r="C54" s="9"/>
      <c r="D54" s="15"/>
      <c r="E54" s="1" t="s">
        <v>117</v>
      </c>
      <c r="F54" s="2">
        <v>4</v>
      </c>
      <c r="G54" s="9"/>
      <c r="H54" s="1" t="s">
        <v>155</v>
      </c>
      <c r="I54" s="2">
        <v>4</v>
      </c>
      <c r="J54" s="9"/>
      <c r="K54" s="1" t="s">
        <v>4</v>
      </c>
      <c r="L54" s="2">
        <v>4</v>
      </c>
      <c r="M54" s="9"/>
      <c r="N54" s="1" t="s">
        <v>158</v>
      </c>
      <c r="O54" s="2">
        <v>4</v>
      </c>
      <c r="P54" s="9"/>
      <c r="Q54" s="17"/>
      <c r="R54" s="9"/>
      <c r="S54" s="9"/>
      <c r="T54" s="11"/>
      <c r="U54" s="11"/>
      <c r="V54" s="9"/>
      <c r="W54" s="11"/>
      <c r="X54" s="11"/>
      <c r="Y54" s="9"/>
      <c r="Z54" s="9"/>
      <c r="AA54" s="9"/>
      <c r="AB54" s="29"/>
      <c r="AC54" s="9"/>
      <c r="AD54" s="9"/>
      <c r="AE54" s="9"/>
      <c r="AF54" s="9"/>
      <c r="AG54" s="9"/>
    </row>
    <row r="55" spans="1:33" x14ac:dyDescent="0.25">
      <c r="A55" s="9"/>
      <c r="B55" s="9"/>
      <c r="C55" s="9"/>
      <c r="D55" s="15"/>
      <c r="E55" s="35" t="s">
        <v>165</v>
      </c>
      <c r="F55" s="36"/>
      <c r="G55" s="9"/>
      <c r="H55" s="46" t="s">
        <v>167</v>
      </c>
      <c r="I55" s="47"/>
      <c r="J55" s="9"/>
      <c r="K55" s="46" t="s">
        <v>166</v>
      </c>
      <c r="L55" s="47"/>
      <c r="M55" s="9"/>
      <c r="N55" s="35" t="s">
        <v>164</v>
      </c>
      <c r="O55" s="36"/>
      <c r="P55" s="9"/>
      <c r="Q55" s="17"/>
      <c r="R55" s="9"/>
      <c r="S55" s="9"/>
      <c r="T55" s="43"/>
      <c r="U55" s="43"/>
      <c r="V55" s="9"/>
      <c r="W55" s="43"/>
      <c r="X55" s="43"/>
      <c r="Y55" s="9"/>
      <c r="Z55" s="9"/>
      <c r="AA55" s="9"/>
      <c r="AB55" s="9"/>
      <c r="AC55" s="9"/>
      <c r="AD55" s="9"/>
      <c r="AE55" s="9"/>
      <c r="AF55" s="9"/>
      <c r="AG55" s="9"/>
    </row>
    <row r="56" spans="1:33" x14ac:dyDescent="0.25">
      <c r="A56" s="9"/>
      <c r="B56" s="9"/>
      <c r="C56" s="9"/>
      <c r="D56" s="15"/>
      <c r="E56" s="37" t="s">
        <v>139</v>
      </c>
      <c r="F56" s="38"/>
      <c r="G56" s="9"/>
      <c r="H56" s="37" t="s">
        <v>168</v>
      </c>
      <c r="I56" s="38"/>
      <c r="J56" s="9"/>
      <c r="K56" s="37" t="s">
        <v>137</v>
      </c>
      <c r="L56" s="38"/>
      <c r="M56" s="9"/>
      <c r="N56" s="37" t="s">
        <v>138</v>
      </c>
      <c r="O56" s="38"/>
      <c r="P56" s="9"/>
      <c r="Q56" s="17"/>
      <c r="R56" s="9"/>
      <c r="S56" s="9"/>
      <c r="T56" s="45"/>
      <c r="U56" s="45"/>
      <c r="V56" s="9"/>
      <c r="W56" s="45"/>
      <c r="X56" s="45"/>
      <c r="Y56" s="9"/>
      <c r="Z56" s="9"/>
      <c r="AA56" s="9"/>
      <c r="AB56" s="9"/>
      <c r="AC56" s="9"/>
      <c r="AD56" s="9"/>
      <c r="AE56" s="9"/>
      <c r="AF56" s="9"/>
      <c r="AG56" s="9"/>
    </row>
    <row r="57" spans="1:33" x14ac:dyDescent="0.25">
      <c r="A57" s="9"/>
      <c r="B57" s="9"/>
      <c r="C57" s="9"/>
      <c r="D57" s="15"/>
      <c r="E57" s="39"/>
      <c r="F57" s="40"/>
      <c r="G57" s="9"/>
      <c r="H57" s="39"/>
      <c r="I57" s="40"/>
      <c r="J57" s="9"/>
      <c r="K57" s="39"/>
      <c r="L57" s="40"/>
      <c r="M57" s="9"/>
      <c r="N57" s="39"/>
      <c r="O57" s="40"/>
      <c r="P57" s="9"/>
      <c r="Q57" s="17"/>
      <c r="R57" s="9"/>
      <c r="S57" s="9"/>
      <c r="T57" s="45"/>
      <c r="U57" s="45"/>
      <c r="V57" s="9"/>
      <c r="W57" s="45"/>
      <c r="X57" s="45"/>
      <c r="Y57" s="9"/>
      <c r="Z57" s="9"/>
      <c r="AA57" s="9"/>
      <c r="AB57" s="9"/>
      <c r="AC57" s="9"/>
      <c r="AD57" s="9"/>
      <c r="AE57" s="9"/>
      <c r="AF57" s="9"/>
      <c r="AG57" s="9"/>
    </row>
    <row r="58" spans="1:33" ht="15.75" thickBot="1" x14ac:dyDescent="0.3">
      <c r="A58" s="9"/>
      <c r="B58" s="9"/>
      <c r="C58" s="9"/>
      <c r="D58" s="15"/>
      <c r="E58" s="41" t="s">
        <v>161</v>
      </c>
      <c r="F58" s="42"/>
      <c r="G58" s="9"/>
      <c r="H58" s="49" t="s">
        <v>169</v>
      </c>
      <c r="I58" s="50"/>
      <c r="J58" s="9"/>
      <c r="K58" s="49">
        <v>43</v>
      </c>
      <c r="L58" s="50"/>
      <c r="M58" s="9"/>
      <c r="N58" s="41" t="s">
        <v>153</v>
      </c>
      <c r="O58" s="42"/>
      <c r="P58" s="9"/>
      <c r="Q58" s="17"/>
      <c r="S58" s="9"/>
      <c r="T58" s="44"/>
      <c r="U58" s="44"/>
      <c r="V58" s="9"/>
      <c r="W58" s="44"/>
      <c r="X58" s="44"/>
      <c r="Y58" s="9"/>
      <c r="Z58" s="9"/>
      <c r="AA58" s="9"/>
      <c r="AB58" s="9"/>
      <c r="AC58" s="9"/>
      <c r="AD58" s="9"/>
      <c r="AE58" s="9"/>
      <c r="AF58" s="9"/>
      <c r="AG58" s="9"/>
    </row>
    <row r="59" spans="1:33" ht="16.5" thickTop="1" thickBot="1" x14ac:dyDescent="0.3">
      <c r="A59" s="9"/>
      <c r="B59" s="9"/>
      <c r="C59" s="9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</sheetData>
  <mergeCells count="222">
    <mergeCell ref="Z50:AA51"/>
    <mergeCell ref="W55:X55"/>
    <mergeCell ref="W56:X57"/>
    <mergeCell ref="W58:X58"/>
    <mergeCell ref="S39:W39"/>
    <mergeCell ref="K58:L58"/>
    <mergeCell ref="E50:F51"/>
    <mergeCell ref="H50:I51"/>
    <mergeCell ref="K50:L51"/>
    <mergeCell ref="N50:O51"/>
    <mergeCell ref="T56:U57"/>
    <mergeCell ref="T44:U45"/>
    <mergeCell ref="T49:U49"/>
    <mergeCell ref="W43:X43"/>
    <mergeCell ref="W49:X49"/>
    <mergeCell ref="H55:I55"/>
    <mergeCell ref="H56:I57"/>
    <mergeCell ref="T52:U52"/>
    <mergeCell ref="W46:X46"/>
    <mergeCell ref="W52:X52"/>
    <mergeCell ref="H58:I58"/>
    <mergeCell ref="T50:U51"/>
    <mergeCell ref="W44:X45"/>
    <mergeCell ref="W50:X51"/>
    <mergeCell ref="N58:O58"/>
    <mergeCell ref="E58:F58"/>
    <mergeCell ref="E44:F45"/>
    <mergeCell ref="H44:I45"/>
    <mergeCell ref="K44:L45"/>
    <mergeCell ref="N44:O45"/>
    <mergeCell ref="N56:O57"/>
    <mergeCell ref="E56:F57"/>
    <mergeCell ref="AD47:AE47"/>
    <mergeCell ref="AD48:AE49"/>
    <mergeCell ref="E49:F49"/>
    <mergeCell ref="H49:I49"/>
    <mergeCell ref="K49:L49"/>
    <mergeCell ref="N49:O49"/>
    <mergeCell ref="T55:U55"/>
    <mergeCell ref="K55:L55"/>
    <mergeCell ref="K56:L57"/>
    <mergeCell ref="AD50:AE50"/>
    <mergeCell ref="E52:F52"/>
    <mergeCell ref="H52:I52"/>
    <mergeCell ref="K52:L52"/>
    <mergeCell ref="N52:O52"/>
    <mergeCell ref="T58:U58"/>
    <mergeCell ref="T46:U46"/>
    <mergeCell ref="W37:X37"/>
    <mergeCell ref="Z37:AA37"/>
    <mergeCell ref="E43:F43"/>
    <mergeCell ref="H43:I43"/>
    <mergeCell ref="K43:L43"/>
    <mergeCell ref="N43:O43"/>
    <mergeCell ref="N55:O55"/>
    <mergeCell ref="E55:F55"/>
    <mergeCell ref="E37:F37"/>
    <mergeCell ref="H37:I37"/>
    <mergeCell ref="K37:L37"/>
    <mergeCell ref="N37:O37"/>
    <mergeCell ref="Q37:R37"/>
    <mergeCell ref="T37:U37"/>
    <mergeCell ref="E46:F46"/>
    <mergeCell ref="H46:I46"/>
    <mergeCell ref="K46:L46"/>
    <mergeCell ref="N46:O46"/>
    <mergeCell ref="T43:U43"/>
    <mergeCell ref="Z43:AA43"/>
    <mergeCell ref="Z49:AA49"/>
    <mergeCell ref="Z46:AA46"/>
    <mergeCell ref="Z52:AA52"/>
    <mergeCell ref="Z44:AA45"/>
    <mergeCell ref="E34:F34"/>
    <mergeCell ref="H34:I34"/>
    <mergeCell ref="K34:L34"/>
    <mergeCell ref="N34:O34"/>
    <mergeCell ref="Q34:R34"/>
    <mergeCell ref="T34:U34"/>
    <mergeCell ref="W34:X34"/>
    <mergeCell ref="Z34:AA34"/>
    <mergeCell ref="E35:F36"/>
    <mergeCell ref="H35:I36"/>
    <mergeCell ref="K35:L36"/>
    <mergeCell ref="N35:O36"/>
    <mergeCell ref="Q35:R36"/>
    <mergeCell ref="T35:U36"/>
    <mergeCell ref="W35:X36"/>
    <mergeCell ref="Z35:AA36"/>
    <mergeCell ref="AC29:AD30"/>
    <mergeCell ref="B31:C31"/>
    <mergeCell ref="E31:F31"/>
    <mergeCell ref="H31:I31"/>
    <mergeCell ref="K31:L31"/>
    <mergeCell ref="N31:O31"/>
    <mergeCell ref="Q31:R31"/>
    <mergeCell ref="T31:U31"/>
    <mergeCell ref="W31:X31"/>
    <mergeCell ref="Z31:AA31"/>
    <mergeCell ref="AC31:AD31"/>
    <mergeCell ref="B29:C30"/>
    <mergeCell ref="E29:F30"/>
    <mergeCell ref="H29:I30"/>
    <mergeCell ref="K29:L30"/>
    <mergeCell ref="N29:O30"/>
    <mergeCell ref="Q29:R30"/>
    <mergeCell ref="T29:U30"/>
    <mergeCell ref="W29:X30"/>
    <mergeCell ref="Z29:AA30"/>
    <mergeCell ref="AC25:AD25"/>
    <mergeCell ref="B28:C28"/>
    <mergeCell ref="E28:F28"/>
    <mergeCell ref="H28:I28"/>
    <mergeCell ref="K28:L28"/>
    <mergeCell ref="N28:O28"/>
    <mergeCell ref="Q28:R28"/>
    <mergeCell ref="T28:U28"/>
    <mergeCell ref="W28:X28"/>
    <mergeCell ref="Z28:AA28"/>
    <mergeCell ref="AC28:AD28"/>
    <mergeCell ref="B25:C25"/>
    <mergeCell ref="E25:F25"/>
    <mergeCell ref="H25:I25"/>
    <mergeCell ref="K25:L25"/>
    <mergeCell ref="N25:O25"/>
    <mergeCell ref="Q25:R25"/>
    <mergeCell ref="T25:U25"/>
    <mergeCell ref="W25:X25"/>
    <mergeCell ref="Z25:AA25"/>
    <mergeCell ref="AC22:AD22"/>
    <mergeCell ref="B23:C24"/>
    <mergeCell ref="E23:F24"/>
    <mergeCell ref="H23:I24"/>
    <mergeCell ref="K23:L24"/>
    <mergeCell ref="N23:O24"/>
    <mergeCell ref="Q23:R24"/>
    <mergeCell ref="T23:U24"/>
    <mergeCell ref="W23:X24"/>
    <mergeCell ref="Z23:AA24"/>
    <mergeCell ref="AC23:AD24"/>
    <mergeCell ref="B22:C22"/>
    <mergeCell ref="E22:F22"/>
    <mergeCell ref="H22:I22"/>
    <mergeCell ref="K22:L22"/>
    <mergeCell ref="N22:O22"/>
    <mergeCell ref="Q22:R22"/>
    <mergeCell ref="T22:U22"/>
    <mergeCell ref="W22:X22"/>
    <mergeCell ref="Z22:AA22"/>
    <mergeCell ref="AC17:AD18"/>
    <mergeCell ref="B19:C19"/>
    <mergeCell ref="E19:F19"/>
    <mergeCell ref="H19:I19"/>
    <mergeCell ref="K19:L19"/>
    <mergeCell ref="N19:O19"/>
    <mergeCell ref="Q19:R19"/>
    <mergeCell ref="T19:U19"/>
    <mergeCell ref="W19:X19"/>
    <mergeCell ref="Z19:AA19"/>
    <mergeCell ref="AC19:AD19"/>
    <mergeCell ref="B17:C18"/>
    <mergeCell ref="E17:F18"/>
    <mergeCell ref="H17:I18"/>
    <mergeCell ref="K17:L18"/>
    <mergeCell ref="N17:O18"/>
    <mergeCell ref="Q17:R18"/>
    <mergeCell ref="T17:U18"/>
    <mergeCell ref="W17:X18"/>
    <mergeCell ref="Z17:AA18"/>
    <mergeCell ref="AC13:AD13"/>
    <mergeCell ref="B16:C16"/>
    <mergeCell ref="E16:F16"/>
    <mergeCell ref="H16:I16"/>
    <mergeCell ref="K16:L16"/>
    <mergeCell ref="N16:O16"/>
    <mergeCell ref="Q16:R16"/>
    <mergeCell ref="T16:U16"/>
    <mergeCell ref="W16:X16"/>
    <mergeCell ref="Z16:AA16"/>
    <mergeCell ref="AC16:AD16"/>
    <mergeCell ref="B13:C13"/>
    <mergeCell ref="E13:F13"/>
    <mergeCell ref="H13:I13"/>
    <mergeCell ref="K13:L13"/>
    <mergeCell ref="N13:O13"/>
    <mergeCell ref="Q13:R13"/>
    <mergeCell ref="T13:U13"/>
    <mergeCell ref="W13:X13"/>
    <mergeCell ref="Z13:AA13"/>
    <mergeCell ref="AC10:AD10"/>
    <mergeCell ref="B11:C12"/>
    <mergeCell ref="E11:F12"/>
    <mergeCell ref="H11:I12"/>
    <mergeCell ref="K11:L12"/>
    <mergeCell ref="N11:O12"/>
    <mergeCell ref="Q11:R12"/>
    <mergeCell ref="T11:U12"/>
    <mergeCell ref="W11:X12"/>
    <mergeCell ref="Z11:AA12"/>
    <mergeCell ref="AC11:AD12"/>
    <mergeCell ref="B10:C10"/>
    <mergeCell ref="E10:F10"/>
    <mergeCell ref="H10:I10"/>
    <mergeCell ref="K10:L10"/>
    <mergeCell ref="N10:O10"/>
    <mergeCell ref="Q10:R10"/>
    <mergeCell ref="T10:U10"/>
    <mergeCell ref="W10:X10"/>
    <mergeCell ref="Z10:AA10"/>
    <mergeCell ref="D2:AF2"/>
    <mergeCell ref="D3:AF3"/>
    <mergeCell ref="D4:AF4"/>
    <mergeCell ref="D5:AF5"/>
    <mergeCell ref="B7:C7"/>
    <mergeCell ref="E7:F7"/>
    <mergeCell ref="H7:I7"/>
    <mergeCell ref="K7:L7"/>
    <mergeCell ref="N7:O7"/>
    <mergeCell ref="Q7:R7"/>
    <mergeCell ref="T7:U7"/>
    <mergeCell ref="W7:X7"/>
    <mergeCell ref="Z7:AA7"/>
    <mergeCell ref="AC7:A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win10</dc:creator>
  <cp:lastModifiedBy>Luis Enrique Vasquez Menjivar</cp:lastModifiedBy>
  <dcterms:created xsi:type="dcterms:W3CDTF">2018-06-14T21:30:12Z</dcterms:created>
  <dcterms:modified xsi:type="dcterms:W3CDTF">2026-07-01T17:00:03Z</dcterms:modified>
</cp:coreProperties>
</file>