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 Vasquez\Desktop\UES-2026\Ciclo 02 - 2026\"/>
    </mc:Choice>
  </mc:AlternateContent>
  <xr:revisionPtr revIDLastSave="0" documentId="13_ncr:1_{22F03A8D-374E-417E-A34E-72897259A5DB}" xr6:coauthVersionLast="47" xr6:coauthVersionMax="47" xr10:uidLastSave="{00000000-0000-0000-0000-000000000000}"/>
  <bookViews>
    <workbookView xWindow="-108" yWindow="-108" windowWidth="23256" windowHeight="12576" xr2:uid="{8B416A22-FD13-409B-B356-C908504C1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I4" i="1"/>
  <c r="I5" i="1"/>
  <c r="I6" i="1"/>
  <c r="I7" i="1"/>
  <c r="I8" i="1"/>
  <c r="I3" i="1"/>
  <c r="I13" i="1"/>
  <c r="I14" i="1"/>
  <c r="I16" i="1"/>
  <c r="I17" i="1"/>
  <c r="I18" i="1"/>
  <c r="I19" i="1"/>
  <c r="I20" i="1"/>
  <c r="I15" i="1"/>
  <c r="N4" i="1"/>
  <c r="N5" i="1"/>
  <c r="N6" i="1"/>
  <c r="N7" i="1"/>
  <c r="N8" i="1"/>
  <c r="N9" i="1"/>
  <c r="N10" i="1"/>
  <c r="N3" i="1"/>
  <c r="D14" i="1"/>
  <c r="D15" i="1"/>
  <c r="D16" i="1"/>
  <c r="D17" i="1"/>
  <c r="D13" i="1"/>
  <c r="D4" i="1"/>
  <c r="D5" i="1"/>
  <c r="D6" i="1"/>
  <c r="D7" i="1"/>
  <c r="D8" i="1"/>
  <c r="D3" i="1"/>
  <c r="B18" i="1"/>
  <c r="G21" i="1"/>
  <c r="L11" i="1"/>
  <c r="G9" i="1"/>
  <c r="B9" i="1"/>
  <c r="I21" i="1" l="1"/>
  <c r="D18" i="1"/>
  <c r="N11" i="1"/>
  <c r="D9" i="1"/>
</calcChain>
</file>

<file path=xl/sharedStrings.xml><?xml version="1.0" encoding="utf-8"?>
<sst xmlns="http://schemas.openxmlformats.org/spreadsheetml/2006/main" count="38" uniqueCount="31">
  <si>
    <t>Analisis Financiero</t>
  </si>
  <si>
    <t>Diseño de Sistemas 2</t>
  </si>
  <si>
    <t>Sistemas Operativos</t>
  </si>
  <si>
    <t>Comercio Electronico</t>
  </si>
  <si>
    <t>Comunicaciones 1</t>
  </si>
  <si>
    <t>Laboratorio 1 Asincronico</t>
  </si>
  <si>
    <t>Parcial 1</t>
  </si>
  <si>
    <t>Laboratorio 2 Sincronico mas Guias</t>
  </si>
  <si>
    <t>Parcial 2</t>
  </si>
  <si>
    <t>Proyecto</t>
  </si>
  <si>
    <t>Laboratorio 3 Sincronico mas Guias</t>
  </si>
  <si>
    <t>Trabajo Grupal Etapa 1</t>
  </si>
  <si>
    <t>Investigacion Documental</t>
  </si>
  <si>
    <t>Ensayo</t>
  </si>
  <si>
    <t>Trabajo Grupal Etapa 2</t>
  </si>
  <si>
    <t>Laboratorio Practico 1 Asinc</t>
  </si>
  <si>
    <t>Curso Huawei Asinc</t>
  </si>
  <si>
    <t>Laboratorio Practico 2 Asinc</t>
  </si>
  <si>
    <t>Laboratorio Practico 3 Asinc</t>
  </si>
  <si>
    <t>Laboratorio Practico 4 Asinc</t>
  </si>
  <si>
    <t>Proyecto de Catedra</t>
  </si>
  <si>
    <t>Practica de Laboratorio 1</t>
  </si>
  <si>
    <t>Practica de Laboratorio 2</t>
  </si>
  <si>
    <t>Practica de Laboratorio 3</t>
  </si>
  <si>
    <t>Proyecto Entregable 1</t>
  </si>
  <si>
    <t>Proyecto Entregable 2</t>
  </si>
  <si>
    <t>Desafio Practico 1</t>
  </si>
  <si>
    <t>Desafio Practico 2</t>
  </si>
  <si>
    <t>Desafio Practico 3</t>
  </si>
  <si>
    <t>Desafio Practico 4</t>
  </si>
  <si>
    <t>Curso Huawei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</si>
</sst>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0" borderId="0" xfId="0" applyNumberFormat="1"/>
    <xf numFmtId="0" fontId="3" fillId="0" borderId="0" xfId="0" applyFont="1"/>
    <xf numFmtId="0" fontId="3" fillId="0" borderId="9" xfId="0" applyFont="1" applyBorder="1"/>
    <xf numFmtId="0" fontId="3" fillId="0" borderId="10" xfId="0" applyFont="1" applyBorder="1"/>
    <xf numFmtId="0" fontId="2" fillId="0" borderId="1" xfId="0" applyFont="1" applyBorder="1"/>
    <xf numFmtId="0" fontId="6" fillId="0" borderId="10" xfId="0" applyFont="1" applyBorder="1"/>
    <xf numFmtId="0" fontId="5" fillId="0" borderId="0" xfId="0" applyFont="1"/>
    <xf numFmtId="9" fontId="5" fillId="0" borderId="0" xfId="0" applyNumberFormat="1" applyFont="1"/>
    <xf numFmtId="164" fontId="10" fillId="0" borderId="0" xfId="1" applyNumberFormat="1" applyFont="1"/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6" fillId="7" borderId="8" xfId="0" applyFont="1" applyFill="1" applyBorder="1"/>
    <xf numFmtId="9" fontId="11" fillId="0" borderId="12" xfId="1" applyFont="1" applyFill="1" applyBorder="1" applyAlignment="1">
      <alignment horizontal="center" vertical="center"/>
    </xf>
    <xf numFmtId="9" fontId="11" fillId="0" borderId="11" xfId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1" xfId="1" applyFont="1" applyFill="1" applyBorder="1" applyAlignment="1">
      <alignment horizontal="center" vertical="center"/>
    </xf>
    <xf numFmtId="9" fontId="9" fillId="0" borderId="3" xfId="1" applyFont="1" applyFill="1" applyBorder="1" applyAlignment="1">
      <alignment horizontal="center" vertical="center"/>
    </xf>
    <xf numFmtId="9" fontId="8" fillId="0" borderId="12" xfId="1" applyFont="1" applyFill="1" applyBorder="1" applyAlignment="1">
      <alignment horizontal="center" vertical="center"/>
    </xf>
    <xf numFmtId="9" fontId="8" fillId="0" borderId="11" xfId="1" applyFont="1" applyFill="1" applyBorder="1" applyAlignment="1">
      <alignment horizontal="center" vertical="center"/>
    </xf>
    <xf numFmtId="9" fontId="8" fillId="0" borderId="3" xfId="1" applyFont="1" applyFill="1" applyBorder="1" applyAlignment="1">
      <alignment horizontal="center" vertical="center"/>
    </xf>
    <xf numFmtId="0" fontId="4" fillId="0" borderId="9" xfId="0" applyFont="1" applyBorder="1"/>
    <xf numFmtId="9" fontId="9" fillId="0" borderId="1" xfId="1" applyFont="1" applyFill="1" applyBorder="1" applyAlignment="1">
      <alignment horizontal="center" vertical="center"/>
    </xf>
    <xf numFmtId="0" fontId="4" fillId="0" borderId="10" xfId="0" applyFont="1" applyBorder="1"/>
    <xf numFmtId="0" fontId="9" fillId="0" borderId="13" xfId="0" applyFont="1" applyBorder="1"/>
    <xf numFmtId="0" fontId="9" fillId="0" borderId="14" xfId="0" applyFont="1" applyBorder="1"/>
    <xf numFmtId="0" fontId="11" fillId="0" borderId="13" xfId="0" applyFont="1" applyBorder="1"/>
    <xf numFmtId="0" fontId="11" fillId="0" borderId="14" xfId="0" applyFont="1" applyBorder="1"/>
    <xf numFmtId="0" fontId="11" fillId="0" borderId="15" xfId="0" applyFont="1" applyBorder="1"/>
    <xf numFmtId="0" fontId="2" fillId="0" borderId="12" xfId="0" applyFont="1" applyBorder="1"/>
    <xf numFmtId="0" fontId="6" fillId="0" borderId="4" xfId="0" applyFont="1" applyBorder="1"/>
    <xf numFmtId="0" fontId="9" fillId="0" borderId="15" xfId="0" applyFont="1" applyBorder="1"/>
    <xf numFmtId="0" fontId="8" fillId="0" borderId="13" xfId="0" applyFont="1" applyBorder="1"/>
    <xf numFmtId="0" fontId="8" fillId="0" borderId="15" xfId="0" applyFont="1" applyBorder="1"/>
    <xf numFmtId="0" fontId="4" fillId="0" borderId="12" xfId="0" applyFont="1" applyBorder="1" applyAlignment="1">
      <alignment horizontal="center"/>
    </xf>
    <xf numFmtId="0" fontId="3" fillId="0" borderId="4" xfId="0" applyFont="1" applyBorder="1"/>
    <xf numFmtId="0" fontId="9" fillId="0" borderId="2" xfId="0" applyFont="1" applyBorder="1"/>
    <xf numFmtId="0" fontId="8" fillId="0" borderId="2" xfId="0" applyFont="1" applyBorder="1"/>
    <xf numFmtId="0" fontId="5" fillId="0" borderId="0" xfId="0" applyFont="1" applyBorder="1"/>
    <xf numFmtId="164" fontId="8" fillId="0" borderId="12" xfId="1" applyNumberFormat="1" applyFont="1" applyFill="1" applyBorder="1" applyAlignment="1">
      <alignment horizontal="center" vertical="center"/>
    </xf>
    <xf numFmtId="0" fontId="0" fillId="0" borderId="16" xfId="0" applyBorder="1"/>
    <xf numFmtId="0" fontId="11" fillId="0" borderId="2" xfId="0" applyFont="1" applyBorder="1"/>
    <xf numFmtId="9" fontId="11" fillId="0" borderId="3" xfId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1" fillId="0" borderId="19" xfId="0" applyFont="1" applyBorder="1"/>
    <xf numFmtId="9" fontId="11" fillId="0" borderId="20" xfId="1" applyFont="1" applyFill="1" applyBorder="1" applyAlignment="1">
      <alignment horizontal="center" vertical="center"/>
    </xf>
    <xf numFmtId="0" fontId="2" fillId="0" borderId="21" xfId="0" applyFont="1" applyBorder="1"/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A0CD-7BCC-4D99-8D34-01F85165CA32}">
  <dimension ref="A1:N21"/>
  <sheetViews>
    <sheetView tabSelected="1" zoomScale="118" zoomScaleNormal="115" workbookViewId="0">
      <selection activeCell="K12" sqref="K12"/>
    </sheetView>
  </sheetViews>
  <sheetFormatPr baseColWidth="10" defaultRowHeight="14.4" x14ac:dyDescent="0.3"/>
  <cols>
    <col min="1" max="1" width="35.6640625" bestFit="1" customWidth="1"/>
    <col min="6" max="6" width="32.88671875" bestFit="1" customWidth="1"/>
    <col min="11" max="11" width="26.6640625" bestFit="1" customWidth="1"/>
  </cols>
  <sheetData>
    <row r="1" spans="1:14" ht="15" thickBot="1" x14ac:dyDescent="0.35"/>
    <row r="2" spans="1:14" ht="15" thickBot="1" x14ac:dyDescent="0.35">
      <c r="A2" s="56" t="s">
        <v>0</v>
      </c>
      <c r="B2" s="57"/>
      <c r="C2" s="57"/>
      <c r="D2" s="58"/>
      <c r="F2" s="59" t="s">
        <v>1</v>
      </c>
      <c r="G2" s="60"/>
      <c r="H2" s="60"/>
      <c r="I2" s="61"/>
      <c r="K2" s="62" t="s">
        <v>2</v>
      </c>
      <c r="L2" s="63"/>
      <c r="M2" s="63"/>
      <c r="N2" s="64"/>
    </row>
    <row r="3" spans="1:14" s="2" customFormat="1" ht="16.2" thickBot="1" x14ac:dyDescent="0.35">
      <c r="A3" s="25" t="s">
        <v>5</v>
      </c>
      <c r="B3" s="17">
        <v>0.2</v>
      </c>
      <c r="C3" s="22">
        <v>7.5</v>
      </c>
      <c r="D3" s="6">
        <f>+C3*B3</f>
        <v>1.5</v>
      </c>
      <c r="F3" s="25" t="s">
        <v>21</v>
      </c>
      <c r="G3" s="17">
        <v>0.1</v>
      </c>
      <c r="H3" s="3">
        <v>10</v>
      </c>
      <c r="I3" s="4">
        <f>+G3*H3</f>
        <v>1</v>
      </c>
      <c r="K3" s="37" t="s">
        <v>26</v>
      </c>
      <c r="L3" s="18">
        <v>0.1</v>
      </c>
      <c r="M3" s="3">
        <v>10</v>
      </c>
      <c r="N3" s="4">
        <f>+L3*M3</f>
        <v>1</v>
      </c>
    </row>
    <row r="4" spans="1:14" ht="16.2" thickBot="1" x14ac:dyDescent="0.35">
      <c r="A4" s="26" t="s">
        <v>6</v>
      </c>
      <c r="B4" s="23">
        <v>0.1</v>
      </c>
      <c r="C4" s="5">
        <v>8.14</v>
      </c>
      <c r="D4" s="6">
        <f t="shared" ref="D4:D8" si="0">+C4*B4</f>
        <v>0.81400000000000006</v>
      </c>
      <c r="F4" s="26" t="s">
        <v>22</v>
      </c>
      <c r="G4" s="23">
        <v>0.15</v>
      </c>
      <c r="H4" s="5">
        <v>7.6</v>
      </c>
      <c r="I4" s="4">
        <f t="shared" ref="I4:I8" si="1">+G4*H4</f>
        <v>1.1399999999999999</v>
      </c>
      <c r="K4" s="32" t="s">
        <v>6</v>
      </c>
      <c r="L4" s="16">
        <v>0.15</v>
      </c>
      <c r="M4" s="10">
        <v>7.15</v>
      </c>
      <c r="N4" s="4">
        <f t="shared" ref="N4:N10" si="2">+L4*M4</f>
        <v>1.0725</v>
      </c>
    </row>
    <row r="5" spans="1:14" ht="16.2" thickBot="1" x14ac:dyDescent="0.35">
      <c r="A5" s="25" t="s">
        <v>7</v>
      </c>
      <c r="B5" s="17">
        <v>0.2</v>
      </c>
      <c r="C5" s="5">
        <v>0</v>
      </c>
      <c r="D5" s="24">
        <f t="shared" si="0"/>
        <v>0</v>
      </c>
      <c r="F5" s="32" t="s">
        <v>23</v>
      </c>
      <c r="G5" s="16">
        <v>0.15</v>
      </c>
      <c r="H5" s="5">
        <v>9.8000000000000007</v>
      </c>
      <c r="I5" s="24">
        <f t="shared" si="1"/>
        <v>1.47</v>
      </c>
      <c r="K5" s="25" t="s">
        <v>27</v>
      </c>
      <c r="L5" s="17">
        <v>0.1</v>
      </c>
      <c r="M5" s="10">
        <v>9</v>
      </c>
      <c r="N5" s="24">
        <f t="shared" si="2"/>
        <v>0.9</v>
      </c>
    </row>
    <row r="6" spans="1:14" ht="16.2" thickBot="1" x14ac:dyDescent="0.35">
      <c r="A6" s="27" t="s">
        <v>8</v>
      </c>
      <c r="B6" s="14">
        <v>0.1</v>
      </c>
      <c r="C6" s="5"/>
      <c r="D6" s="6">
        <f t="shared" si="0"/>
        <v>0</v>
      </c>
      <c r="F6" s="33" t="s">
        <v>24</v>
      </c>
      <c r="G6" s="20">
        <v>0.2</v>
      </c>
      <c r="H6" s="5"/>
      <c r="I6" s="4">
        <f t="shared" si="1"/>
        <v>0</v>
      </c>
      <c r="K6" s="34" t="s">
        <v>28</v>
      </c>
      <c r="L6" s="19">
        <v>0.1</v>
      </c>
      <c r="M6" s="10"/>
      <c r="N6" s="4">
        <f t="shared" si="2"/>
        <v>0</v>
      </c>
    </row>
    <row r="7" spans="1:14" ht="16.2" thickBot="1" x14ac:dyDescent="0.35">
      <c r="A7" s="28" t="s">
        <v>9</v>
      </c>
      <c r="B7" s="15">
        <v>0.2</v>
      </c>
      <c r="C7" s="5"/>
      <c r="D7" s="6">
        <f t="shared" si="0"/>
        <v>0</v>
      </c>
      <c r="F7" s="34" t="s">
        <v>25</v>
      </c>
      <c r="G7" s="19">
        <v>0.2</v>
      </c>
      <c r="H7" s="5"/>
      <c r="I7" s="4">
        <f t="shared" si="1"/>
        <v>0</v>
      </c>
      <c r="K7" s="34" t="s">
        <v>29</v>
      </c>
      <c r="L7" s="19">
        <v>0.1</v>
      </c>
      <c r="M7" s="10"/>
      <c r="N7" s="4">
        <f t="shared" si="2"/>
        <v>0</v>
      </c>
    </row>
    <row r="8" spans="1:14" ht="16.2" thickBot="1" x14ac:dyDescent="0.35">
      <c r="A8" s="29" t="s">
        <v>10</v>
      </c>
      <c r="B8" s="13">
        <v>0.2</v>
      </c>
      <c r="C8" s="30"/>
      <c r="D8" s="31">
        <f t="shared" si="0"/>
        <v>0</v>
      </c>
      <c r="F8" s="34" t="s">
        <v>6</v>
      </c>
      <c r="G8" s="19">
        <v>0.2</v>
      </c>
      <c r="H8" s="35"/>
      <c r="I8" s="36">
        <f t="shared" si="1"/>
        <v>0</v>
      </c>
      <c r="K8" s="38" t="s">
        <v>8</v>
      </c>
      <c r="L8" s="21">
        <v>0.15</v>
      </c>
      <c r="M8" s="10"/>
      <c r="N8" s="4">
        <f t="shared" si="2"/>
        <v>0</v>
      </c>
    </row>
    <row r="9" spans="1:14" ht="18.600000000000001" thickBot="1" x14ac:dyDescent="0.4">
      <c r="B9" s="9">
        <f>SUM(B3:B8)</f>
        <v>1</v>
      </c>
      <c r="C9" s="1"/>
      <c r="D9" s="12">
        <f>SUM(D3:D8)</f>
        <v>2.3140000000000001</v>
      </c>
      <c r="G9" s="9">
        <f>SUM(G3:G8)</f>
        <v>1</v>
      </c>
      <c r="I9" s="12">
        <f>SUM(I3:I8)</f>
        <v>3.6099999999999994</v>
      </c>
      <c r="K9" s="34" t="s">
        <v>20</v>
      </c>
      <c r="L9" s="19">
        <v>0.2</v>
      </c>
      <c r="M9" s="39"/>
      <c r="N9" s="4">
        <f t="shared" si="2"/>
        <v>0</v>
      </c>
    </row>
    <row r="10" spans="1:14" ht="16.2" thickBot="1" x14ac:dyDescent="0.35">
      <c r="B10" s="1"/>
      <c r="C10" s="1"/>
      <c r="K10" s="34" t="s">
        <v>30</v>
      </c>
      <c r="L10" s="40">
        <v>0.1</v>
      </c>
      <c r="M10" s="41"/>
      <c r="N10" s="36">
        <f t="shared" si="2"/>
        <v>0</v>
      </c>
    </row>
    <row r="11" spans="1:14" ht="15" thickBot="1" x14ac:dyDescent="0.35">
      <c r="B11" s="1"/>
      <c r="C11" s="1"/>
      <c r="L11" s="1">
        <f>SUM(L3:L10)</f>
        <v>0.99999999999999989</v>
      </c>
      <c r="N11" s="12">
        <f>SUM(N3:N10)</f>
        <v>2.9724999999999997</v>
      </c>
    </row>
    <row r="12" spans="1:14" ht="15" thickBot="1" x14ac:dyDescent="0.35">
      <c r="A12" s="50" t="s">
        <v>3</v>
      </c>
      <c r="B12" s="51"/>
      <c r="C12" s="51"/>
      <c r="D12" s="52"/>
      <c r="F12" s="53" t="s">
        <v>4</v>
      </c>
      <c r="G12" s="54"/>
      <c r="H12" s="54"/>
      <c r="I12" s="55"/>
    </row>
    <row r="13" spans="1:14" ht="16.2" thickBot="1" x14ac:dyDescent="0.35">
      <c r="A13" s="37" t="s">
        <v>11</v>
      </c>
      <c r="B13" s="18">
        <v>0.2</v>
      </c>
      <c r="C13" s="3">
        <v>10</v>
      </c>
      <c r="D13" s="4">
        <f>+B13*C13</f>
        <v>2</v>
      </c>
      <c r="F13" s="25" t="s">
        <v>15</v>
      </c>
      <c r="G13" s="17">
        <v>0.1</v>
      </c>
      <c r="H13" s="3">
        <v>8.6</v>
      </c>
      <c r="I13" s="45">
        <f t="shared" ref="I13:I14" si="3">+G13*H13</f>
        <v>0.86</v>
      </c>
    </row>
    <row r="14" spans="1:14" ht="16.2" thickBot="1" x14ac:dyDescent="0.35">
      <c r="A14" s="32" t="s">
        <v>12</v>
      </c>
      <c r="B14" s="16">
        <v>0.15</v>
      </c>
      <c r="C14" s="5">
        <v>9.3000000000000007</v>
      </c>
      <c r="D14" s="24">
        <f t="shared" ref="D14:D17" si="4">+B14*C14</f>
        <v>1.395</v>
      </c>
      <c r="F14" s="37" t="s">
        <v>16</v>
      </c>
      <c r="G14" s="18">
        <v>0.1</v>
      </c>
      <c r="H14" s="5"/>
      <c r="I14" s="46">
        <f t="shared" si="3"/>
        <v>0</v>
      </c>
    </row>
    <row r="15" spans="1:14" ht="16.2" thickBot="1" x14ac:dyDescent="0.35">
      <c r="A15" s="32" t="s">
        <v>6</v>
      </c>
      <c r="B15" s="16">
        <v>0.3</v>
      </c>
      <c r="C15" s="5">
        <v>8.33</v>
      </c>
      <c r="D15" s="24">
        <f t="shared" si="4"/>
        <v>2.4990000000000001</v>
      </c>
      <c r="F15" s="25" t="s">
        <v>6</v>
      </c>
      <c r="G15" s="17">
        <v>0.15</v>
      </c>
      <c r="H15" s="5">
        <v>9.23</v>
      </c>
      <c r="I15" s="46">
        <f>+G15*H15</f>
        <v>1.3845000000000001</v>
      </c>
    </row>
    <row r="16" spans="1:14" ht="16.2" thickBot="1" x14ac:dyDescent="0.35">
      <c r="A16" s="29" t="s">
        <v>13</v>
      </c>
      <c r="B16" s="13">
        <v>0.15</v>
      </c>
      <c r="C16" s="10"/>
      <c r="D16" s="4">
        <f t="shared" si="4"/>
        <v>0</v>
      </c>
      <c r="F16" s="37" t="s">
        <v>17</v>
      </c>
      <c r="G16" s="18">
        <v>0.1</v>
      </c>
      <c r="H16" s="5"/>
      <c r="I16" s="46">
        <f t="shared" ref="I16:I20" si="5">+G16*H16</f>
        <v>0</v>
      </c>
      <c r="K16" s="2"/>
      <c r="L16" s="2"/>
      <c r="M16" s="2"/>
      <c r="N16" s="2"/>
    </row>
    <row r="17" spans="1:14" ht="16.2" thickBot="1" x14ac:dyDescent="0.35">
      <c r="A17" s="42" t="s">
        <v>14</v>
      </c>
      <c r="B17" s="43">
        <v>0.2</v>
      </c>
      <c r="C17" s="44"/>
      <c r="D17" s="36">
        <f t="shared" si="4"/>
        <v>0</v>
      </c>
      <c r="F17" s="27" t="s">
        <v>18</v>
      </c>
      <c r="G17" s="14">
        <v>0.1</v>
      </c>
      <c r="H17" s="5"/>
      <c r="I17" s="46">
        <f t="shared" si="5"/>
        <v>0</v>
      </c>
    </row>
    <row r="18" spans="1:14" ht="18.600000000000001" thickBot="1" x14ac:dyDescent="0.4">
      <c r="A18" s="7"/>
      <c r="B18" s="9">
        <f>SUM(B13:B17)</f>
        <v>1</v>
      </c>
      <c r="C18" s="8"/>
      <c r="D18" s="12">
        <f>SUM(D13:D17)</f>
        <v>5.8940000000000001</v>
      </c>
      <c r="F18" s="27" t="s">
        <v>19</v>
      </c>
      <c r="G18" s="14">
        <v>0.1</v>
      </c>
      <c r="H18" s="11"/>
      <c r="I18" s="46">
        <f t="shared" si="5"/>
        <v>0</v>
      </c>
    </row>
    <row r="19" spans="1:14" ht="15.6" x14ac:dyDescent="0.3">
      <c r="F19" s="27" t="s">
        <v>8</v>
      </c>
      <c r="G19" s="14">
        <v>0.15</v>
      </c>
      <c r="H19" s="11"/>
      <c r="I19" s="46">
        <f t="shared" si="5"/>
        <v>0</v>
      </c>
    </row>
    <row r="20" spans="1:14" ht="16.2" thickBot="1" x14ac:dyDescent="0.35">
      <c r="F20" s="47" t="s">
        <v>20</v>
      </c>
      <c r="G20" s="48">
        <v>0.2</v>
      </c>
      <c r="H20" s="35"/>
      <c r="I20" s="49">
        <f t="shared" si="5"/>
        <v>0</v>
      </c>
    </row>
    <row r="21" spans="1:14" s="2" customFormat="1" ht="18.600000000000001" thickBot="1" x14ac:dyDescent="0.4">
      <c r="A21"/>
      <c r="B21"/>
      <c r="C21"/>
      <c r="D21"/>
      <c r="F21"/>
      <c r="G21" s="9">
        <f>SUM(G13:G20)</f>
        <v>1</v>
      </c>
      <c r="H21" s="1"/>
      <c r="I21" s="12">
        <f>SUM(I13:I20)</f>
        <v>2.2444999999999999</v>
      </c>
      <c r="K21"/>
      <c r="L21"/>
      <c r="M21"/>
      <c r="N21"/>
    </row>
  </sheetData>
  <mergeCells count="5">
    <mergeCell ref="A12:D12"/>
    <mergeCell ref="F12:I12"/>
    <mergeCell ref="A2:D2"/>
    <mergeCell ref="F2:I2"/>
    <mergeCell ref="K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SoporteSV</dc:creator>
  <cp:lastModifiedBy>Luis Enrique Vasquez Menjivar</cp:lastModifiedBy>
  <dcterms:created xsi:type="dcterms:W3CDTF">2023-08-29T20:33:10Z</dcterms:created>
  <dcterms:modified xsi:type="dcterms:W3CDTF">2026-10-21T02:41:13Z</dcterms:modified>
</cp:coreProperties>
</file>