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Luis Vasquez\Desktop\"/>
    </mc:Choice>
  </mc:AlternateContent>
  <xr:revisionPtr revIDLastSave="0" documentId="8_{56E362EC-FD74-4594-8A16-E04C8E1C8F8B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Hoja de datos" sheetId="8" r:id="rId1"/>
    <sheet name="Planteamiento EJ 1 Y 2" sheetId="2" r:id="rId2"/>
    <sheet name="Estados Financ EJ 1 Y 2" sheetId="3" r:id="rId3"/>
    <sheet name="Estad Financi EJ 3" sheetId="7" r:id="rId4"/>
    <sheet name="Hoja2" sheetId="5" state="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2" i="7" l="1"/>
  <c r="B31" i="7"/>
  <c r="B30" i="7"/>
  <c r="B29" i="7"/>
  <c r="B28" i="7"/>
  <c r="C17" i="2"/>
  <c r="B17" i="2"/>
  <c r="C16" i="2"/>
  <c r="B16" i="2"/>
  <c r="C15" i="2"/>
  <c r="B15" i="2"/>
  <c r="C14" i="2"/>
  <c r="B14" i="2"/>
  <c r="C13" i="2"/>
  <c r="B13" i="2"/>
  <c r="C12" i="2"/>
  <c r="B12" i="2"/>
  <c r="C11" i="2"/>
  <c r="B11" i="2"/>
  <c r="C10" i="2"/>
  <c r="B10" i="2"/>
  <c r="C9" i="2"/>
  <c r="B9" i="2"/>
  <c r="C8" i="2"/>
  <c r="B8" i="2"/>
  <c r="C7" i="2"/>
  <c r="B7" i="2"/>
  <c r="I20" i="3"/>
  <c r="J18" i="3"/>
  <c r="J20" i="3" s="1"/>
  <c r="I18" i="3"/>
  <c r="J14" i="3"/>
  <c r="I14" i="3"/>
  <c r="J8" i="3"/>
  <c r="I8" i="3"/>
  <c r="J15" i="7"/>
  <c r="J8" i="7"/>
  <c r="J7" i="7"/>
  <c r="E21" i="7"/>
  <c r="B19" i="7"/>
  <c r="E15" i="7"/>
  <c r="E11" i="7"/>
  <c r="B11" i="7"/>
  <c r="E16" i="7" l="1"/>
  <c r="E22" i="7" s="1"/>
  <c r="J12" i="7"/>
  <c r="J13" i="7" s="1"/>
  <c r="J14" i="7" s="1"/>
  <c r="B22" i="7"/>
  <c r="C30" i="3"/>
  <c r="C37" i="3" s="1"/>
  <c r="B30" i="3"/>
  <c r="B37" i="3" s="1"/>
  <c r="C12" i="3"/>
  <c r="B12" i="3"/>
  <c r="C45" i="3" l="1"/>
  <c r="B45" i="3"/>
  <c r="B18" i="3"/>
  <c r="C18" i="3"/>
</calcChain>
</file>

<file path=xl/sharedStrings.xml><?xml version="1.0" encoding="utf-8"?>
<sst xmlns="http://schemas.openxmlformats.org/spreadsheetml/2006/main" count="208" uniqueCount="198">
  <si>
    <t>ACTIVO</t>
  </si>
  <si>
    <t>Activo Circulante (Corriente):</t>
  </si>
  <si>
    <t>Total del activo circulante</t>
  </si>
  <si>
    <t>Activo No Circulante:</t>
  </si>
  <si>
    <t>Inversiones</t>
  </si>
  <si>
    <t>Maquinaria, mobiliario y equipo netos (nota 7)</t>
  </si>
  <si>
    <t>Otros activos - netos (nota 8)</t>
  </si>
  <si>
    <t>Total del Activo</t>
  </si>
  <si>
    <t>PASIVO Y PATRIMONIO</t>
  </si>
  <si>
    <t>Pasivo Circulante (Corriente):</t>
  </si>
  <si>
    <t>Sobregiros bancarios</t>
  </si>
  <si>
    <t>Proveedores nacionales</t>
  </si>
  <si>
    <t>Total del pasivo circulante</t>
  </si>
  <si>
    <t>Pasivo a Largo Plazo:</t>
  </si>
  <si>
    <t>Provisión para obligaciones laborales</t>
  </si>
  <si>
    <t>Otros pasivos</t>
  </si>
  <si>
    <t>Total del pasivo</t>
  </si>
  <si>
    <t>Patrimonio:</t>
  </si>
  <si>
    <t>Capital social - 462,000 acciones comunes</t>
  </si>
  <si>
    <t>Reserva legal (nota 16)</t>
  </si>
  <si>
    <t>Utilidades disponibles (nota 16)</t>
  </si>
  <si>
    <t>Total del patrimonio</t>
  </si>
  <si>
    <t>Total Pasivo y Patrimonio</t>
  </si>
  <si>
    <t>Se requiere calcular y analizar, para cada año los sigueintes indicadores:</t>
  </si>
  <si>
    <t>1. Solvencia o ratio de liquidez</t>
  </si>
  <si>
    <t>2. Prueba Acida</t>
  </si>
  <si>
    <t>3. Capital de trabajo</t>
  </si>
  <si>
    <t>4. Rotación de inventarios</t>
  </si>
  <si>
    <t>5. Periodo promedio de cobranza</t>
  </si>
  <si>
    <t>6. Periodo promedio de pago</t>
  </si>
  <si>
    <t>7. Apalancamiento financero</t>
  </si>
  <si>
    <t>8. Razón de endeudamiento</t>
  </si>
  <si>
    <t xml:space="preserve">9. Rendimiento sobre los activos ROA </t>
  </si>
  <si>
    <t>10. Rendimiento sobre el capital contable ROE</t>
  </si>
  <si>
    <t xml:space="preserve">11. Margen de Utilidad Neta </t>
  </si>
  <si>
    <t>31 diciembre del 2025 y 2024</t>
  </si>
  <si>
    <t xml:space="preserve">Efectivo </t>
  </si>
  <si>
    <t xml:space="preserve">Cuentas y documentos por cobrar </t>
  </si>
  <si>
    <t xml:space="preserve">Inventarios </t>
  </si>
  <si>
    <t xml:space="preserve">Gastos pagados por anticipado </t>
  </si>
  <si>
    <t>Vencimiento circulante de préstamos a largo plazo</t>
  </si>
  <si>
    <t xml:space="preserve">Vencimiento circulante de documentos por pagar </t>
  </si>
  <si>
    <t xml:space="preserve">Préstamos bancarios a corto plazo </t>
  </si>
  <si>
    <t xml:space="preserve">Proveedores del exterior </t>
  </si>
  <si>
    <t xml:space="preserve">Cuentas por pagar a compañías relacionadas </t>
  </si>
  <si>
    <t>Otras cuentas por pagar y gastos acumulados</t>
  </si>
  <si>
    <t xml:space="preserve">Préstamos a largo plazo menos vencimiento circulante </t>
  </si>
  <si>
    <t xml:space="preserve">Documentos por pagar menos vencimiento circulante </t>
  </si>
  <si>
    <t>Resultado</t>
  </si>
  <si>
    <t>Activo Corriente</t>
  </si>
  <si>
    <t>Pasivos</t>
  </si>
  <si>
    <t>Efectivo y Equivalentes</t>
  </si>
  <si>
    <t>Cuentas por pagar Comerciales</t>
  </si>
  <si>
    <t>Cuentas por Cobrar</t>
  </si>
  <si>
    <t>Retenciones por Pagar</t>
  </si>
  <si>
    <t>Estimacion Ctas Incobrables</t>
  </si>
  <si>
    <t>Obligaciones por Beneficios a empleados</t>
  </si>
  <si>
    <t>Inventarios</t>
  </si>
  <si>
    <t>Impuestos por pagar</t>
  </si>
  <si>
    <t>Total de Activo Corriente</t>
  </si>
  <si>
    <t>Total de Pasivo Corriente</t>
  </si>
  <si>
    <t>Pasivo no Corriente</t>
  </si>
  <si>
    <t>Activo no Corriente</t>
  </si>
  <si>
    <t>Prestamos a Largo Plazo</t>
  </si>
  <si>
    <t>Propiedad, Planta y Equipo</t>
  </si>
  <si>
    <t>Provision para obligaciones Laborales</t>
  </si>
  <si>
    <t>Depreciacion Acumulada</t>
  </si>
  <si>
    <t>Total de Pasivo no Corriente</t>
  </si>
  <si>
    <t>Activo por Impuesto Diferido</t>
  </si>
  <si>
    <t>TOTAL PASIVOS</t>
  </si>
  <si>
    <t>Patrimonio</t>
  </si>
  <si>
    <t>Capital Social</t>
  </si>
  <si>
    <t>Total de Activo no Corriente</t>
  </si>
  <si>
    <t>Reserva</t>
  </si>
  <si>
    <t>Utilidad del Ejercicio</t>
  </si>
  <si>
    <t>Total Patrimonio</t>
  </si>
  <si>
    <t>Total Activos</t>
  </si>
  <si>
    <t>Total Pasivo mas Patrimonio</t>
  </si>
  <si>
    <t>Razon de Liquidez</t>
  </si>
  <si>
    <t>Rotacion de Activos Totales</t>
  </si>
  <si>
    <t>Indice de endeudamiento</t>
  </si>
  <si>
    <t>BALANCE GENERAL EMPRESA AZUCARERA</t>
  </si>
  <si>
    <t>Al 31 diciembre 2023</t>
  </si>
  <si>
    <t>Razón Financiera</t>
  </si>
  <si>
    <t>Prueba ácida</t>
  </si>
  <si>
    <t>Ingresos de Operación</t>
  </si>
  <si>
    <t>(-)</t>
  </si>
  <si>
    <t>Costo de Venta</t>
  </si>
  <si>
    <t>Utilidad Bruta</t>
  </si>
  <si>
    <t>Gastos Operativos</t>
  </si>
  <si>
    <t>Gastos de Admon</t>
  </si>
  <si>
    <t>Gastos de Venta</t>
  </si>
  <si>
    <t>Gastos Financieros</t>
  </si>
  <si>
    <t>Utilidad del Ejercicio antes de R.L</t>
  </si>
  <si>
    <t>Reserva Legal</t>
  </si>
  <si>
    <t>Gastos por Impuesto</t>
  </si>
  <si>
    <t>ESTADO DE RESULTADOS EMPRESA AZUCARERA DEL 01 DE ENERO AL 31 DE DICIEMBRE 2022</t>
  </si>
  <si>
    <t>Respuesta</t>
  </si>
  <si>
    <t>Rotación de Inventario</t>
  </si>
  <si>
    <t xml:space="preserve"> EJERCICIO 3: Cálculo de razones financieras</t>
  </si>
  <si>
    <t>Calcular:</t>
  </si>
  <si>
    <t>Indicadores o ratios:</t>
  </si>
  <si>
    <t xml:space="preserve">Ejercicio 1 y 2 de Análisis Financiero: Se presentan los Estados Financieros de la empresa "ABC SA de CV":  Balance General y Estado de Resultados de los años 2025 y 2024
</t>
  </si>
  <si>
    <t>Ventas (Ventas a Crédito)</t>
  </si>
  <si>
    <t>Costo de Ventas</t>
  </si>
  <si>
    <t>Utilidad bruta</t>
  </si>
  <si>
    <t>Gastos de operación:</t>
  </si>
  <si>
    <t>Gastos de administración</t>
  </si>
  <si>
    <t>Gastos de ventas</t>
  </si>
  <si>
    <t>Gastos financieros</t>
  </si>
  <si>
    <t>Total gasto de operación</t>
  </si>
  <si>
    <t>Utilidad de operación</t>
  </si>
  <si>
    <t>Otros ingresos netos</t>
  </si>
  <si>
    <t>Utilidad antes de impuesto sobre la renta</t>
  </si>
  <si>
    <t>Utilidad Neta</t>
  </si>
  <si>
    <t>BALANCE GENERAL ABC SA de CV</t>
  </si>
  <si>
    <t>ESTADO DE RESULTADOS EMPRESA ABC SA de CV</t>
  </si>
  <si>
    <t>Al 31 de diciembre 2025 y 2024</t>
  </si>
  <si>
    <t xml:space="preserve">Impuesto sobre la rentas </t>
  </si>
  <si>
    <t>12. Año más rentable</t>
  </si>
  <si>
    <t>13.Año con negocio más equilibrado y seguro</t>
  </si>
  <si>
    <t>Rúbrica de evaluación laboratorio 2</t>
  </si>
  <si>
    <t>Criterio</t>
  </si>
  <si>
    <t>Puntos</t>
  </si>
  <si>
    <t>Excelente (90–100%)</t>
  </si>
  <si>
    <t>Bueno (70–89%)</t>
  </si>
  <si>
    <t>Básico (50–69%)</t>
  </si>
  <si>
    <t>Insuficiente (0–49%)</t>
  </si>
  <si>
    <t>Nota</t>
  </si>
  <si>
    <t>1. Razón de Liquidez</t>
  </si>
  <si>
    <t>Fórmula identificada y datos seleccionados correctamente; operación matemática correcta; resultado presentado con unidad/veces; interpretación coherente. Cumple de forma completa y sin errores relevantes.</t>
  </si>
  <si>
    <t>Fórmula identificada y datos seleccionados correctamente; operación matemática correcta; resultado presentado con unidad/veces; interpretación coherente. Presenta uno o dos errores menores que no afectan sustancialmente el resultado.</t>
  </si>
  <si>
    <t>Fórmula identificada y datos seleccionados correctamente; operación matemática correcta; resultado presentado con unidad/veces; interpretación coherente. Cumple parcialmente; presenta errores de procedimiento, datos o interpretación que afectan el resultado.</t>
  </si>
  <si>
    <t>Fórmula identificada y datos seleccionados correctamente; operación matemática correcta; resultado presentado con unidad/veces; interpretación coherente. No desarrolla el criterio, presenta errores sustanciales o el resultado no es verificable.</t>
  </si>
  <si>
    <t>Ventas/ingresos y activos totales correctamente identificados; cálculo correcto; resultado en veces; interpretación coherente. Cumple de forma completa y sin errores relevantes.</t>
  </si>
  <si>
    <t>Ventas/ingresos y activos totales correctamente identificados; cálculo correcto; resultado en veces; interpretación coherente. Presenta uno o dos errores menores que no afectan sustancialmente el resultado.</t>
  </si>
  <si>
    <t>Ventas/ingresos y activos totales correctamente identificados; cálculo correcto; resultado en veces; interpretación coherente. Cumple parcialmente; presenta errores de procedimiento, datos o interpretación que afectan el resultado.</t>
  </si>
  <si>
    <t>Ventas/ingresos y activos totales correctamente identificados; cálculo correcto; resultado en veces; interpretación coherente. No desarrolla el criterio, presenta errores sustanciales o el resultado no es verificable.</t>
  </si>
  <si>
    <t>3. Prueba Ácida</t>
  </si>
  <si>
    <t>Fórmula aplicada excluyendo inventarios (y considerando las partidas pertinentes); cálculo correcto; resultado presentado; interpretación coherente. Cumple de forma completa y sin errores relevantes.</t>
  </si>
  <si>
    <t>Fórmula aplicada excluyendo inventarios (y considerando las partidas pertinentes); cálculo correcto; resultado presentado; interpretación coherente. Presenta uno o dos errores menores que no afectan sustancialmente el resultado.</t>
  </si>
  <si>
    <t>Fórmula aplicada excluyendo inventarios (y considerando las partidas pertinentes); cálculo correcto; resultado presentado; interpretación coherente. Cumple parcialmente; presenta errores de procedimiento, datos o interpretación que afectan el resultado.</t>
  </si>
  <si>
    <t>Fórmula aplicada excluyendo inventarios (y considerando las partidas pertinentes); cálculo correcto; resultado presentado; interpretación coherente. No desarrolla el criterio, presenta errores sustanciales o el resultado no es verificable.</t>
  </si>
  <si>
    <t>4. Margen de Utilidad Operativa</t>
  </si>
  <si>
    <t>Utilidad operativa e ingresos/ventas correctamente identificados; cálculo porcentual correcto; interpretación coherente. Cumple de forma completa y sin errores relevantes.</t>
  </si>
  <si>
    <t>Utilidad operativa e ingresos/ventas correctamente identificados; cálculo porcentual correcto; interpretación coherente. Presenta uno o dos errores menores que no afectan sustancialmente el resultado.</t>
  </si>
  <si>
    <t>Utilidad operativa e ingresos/ventas correctamente identificados; cálculo porcentual correcto; interpretación coherente. Cumple parcialmente; presenta errores de procedimiento, datos o interpretación que afectan el resultado.</t>
  </si>
  <si>
    <t>Utilidad operativa e ingresos/ventas correctamente identificados; cálculo porcentual correcto; interpretación coherente. No desarrolla el criterio, presenta errores sustanciales o el resultado no es verificable.</t>
  </si>
  <si>
    <t>5. Rotación de Inventario</t>
  </si>
  <si>
    <t>Costo de ventas e inventario correctamente identificados; cálculo correcto; resultado en veces; interpretación coherente. Cumple de forma completa y sin errores relevantes.</t>
  </si>
  <si>
    <t>Costo de ventas e inventario correctamente identificados; cálculo correcto; resultado en veces; interpretación coherente. Presenta uno o dos errores menores que no afectan sustancialmente el resultado.</t>
  </si>
  <si>
    <t>Costo de ventas e inventario correctamente identificados; cálculo correcto; resultado en veces; interpretación coherente. Cumple parcialmente; presenta errores de procedimiento, datos o interpretación que afectan el resultado.</t>
  </si>
  <si>
    <t>Costo de ventas e inventario correctamente identificados; cálculo correcto; resultado en veces; interpretación coherente. No desarrolla el criterio, presenta errores sustanciales o el resultado no es verificable.</t>
  </si>
  <si>
    <t>Pasivo total y activo total correctamente identificados; cálculo porcentual correcto; interpretación coherente. Cumple de forma completa y sin errores relevantes.</t>
  </si>
  <si>
    <t>Pasivo total y activo total correctamente identificados; cálculo porcentual correcto; interpretación coherente. Presenta uno o dos errores menores que no afectan sustancialmente el resultado.</t>
  </si>
  <si>
    <t>Pasivo total y activo total correctamente identificados; cálculo porcentual correcto; interpretación coherente. Cumple parcialmente; presenta errores de procedimiento, datos o interpretación que afectan el resultado.</t>
  </si>
  <si>
    <t>Pasivo total y activo total correctamente identificados; cálculo porcentual correcto; interpretación coherente. No desarrolla el criterio, presenta errores sustanciales o el resultado no es verificable.</t>
  </si>
  <si>
    <t>Cuentas por cobrar y ventas/ingresos correctamente identificados; fórmula y base temporal coherentes; cálculo correcto; resultado en días; interpretación coherente. Cumple de forma completa y sin errores relevantes.</t>
  </si>
  <si>
    <t>Cuentas por cobrar y ventas/ingresos correctamente identificados; fórmula y base temporal coherentes; cálculo correcto; resultado en días; interpretación coherente. Presenta uno o dos errores menores que no afectan sustancialmente el resultado.</t>
  </si>
  <si>
    <t>Cuentas por cobrar y ventas/ingresos correctamente identificados; fórmula y base temporal coherentes; cálculo correcto; resultado en días; interpretación coherente. Cumple parcialmente; presenta errores de procedimiento, datos o interpretación que afectan el resultado.</t>
  </si>
  <si>
    <t>Cuentas por cobrar y ventas/ingresos correctamente identificados; fórmula y base temporal coherentes; cálculo correcto; resultado en días; interpretación coherente. No desarrolla el criterio, presenta errores sustanciales o el resultado no es verificable.</t>
  </si>
  <si>
    <t>8. Explicación / análisis integral</t>
  </si>
  <si>
    <t>Explica los 7 resultados, relaciona cada indicador con la situación financiera, identifica fortalezas/riesgos y sustenta conclusiones con los resultados calculados. Cumple de forma completa y sin errores relevantes.</t>
  </si>
  <si>
    <t>Explica los 7 resultados, relaciona cada indicador con la situación financiera, identifica fortalezas/riesgos y sustenta conclusiones con los resultados calculados. Presenta uno o dos errores menores que no afectan sustancialmente el resultado.</t>
  </si>
  <si>
    <t>Explica los 7 resultados, relaciona cada indicador con la situación financiera, identifica fortalezas/riesgos y sustenta conclusiones con los resultados calculados. Cumple parcialmente; presenta errores de procedimiento, datos o interpretación que afectan el resultado.</t>
  </si>
  <si>
    <t>Explica los 7 resultados, relaciona cada indicador con la situación financiera, identifica fortalezas/riesgos y sustenta conclusiones con los resultados calculados. No desarrolla el criterio, presenta errores sustanciales o el resultado no es verificable.</t>
  </si>
  <si>
    <t>9. Presentación y procedimiento</t>
  </si>
  <si>
    <t>Procedimiento ordenado y legible; datos/fórmulas identificables; operaciones trazables; resultados claramente diferenciados; entrega completa. Cumple de forma completa y sin errores relevantes.</t>
  </si>
  <si>
    <t>Procedimiento ordenado y legible; datos/fórmulas identificables; operaciones trazables; resultados claramente diferenciados; entrega completa. Presenta uno o dos errores menores que no afectan sustancialmente el resultado.</t>
  </si>
  <si>
    <t>Procedimiento ordenado y legible; datos/fórmulas identificables; operaciones trazables; resultados claramente diferenciados; entrega completa. Cumple parcialmente; presenta errores de procedimiento, datos o interpretación que afectan el resultado.</t>
  </si>
  <si>
    <t>Procedimiento ordenado y legible; datos/fórmulas identificables; operaciones trazables; resultados claramente diferenciados; entrega completa. No desarrolla el criterio, presenta errores sustanciales o el resultado no es verificable.</t>
  </si>
  <si>
    <t>NOTA FINAL</t>
  </si>
  <si>
    <t>7. Periodo de Cobro y pago</t>
  </si>
  <si>
    <t>6. Índice de Endeudamiento, apalancamiento financiero</t>
  </si>
  <si>
    <t>2. Rotación de Activos Totales, Rendimiento sobre los activos ROA , Rendimiento sobre el capital contable ROE</t>
  </si>
  <si>
    <t xml:space="preserve">NOTA: TODAS LAS NOTA A COLOCAR DEBEN DE ESTAR ENTRE 0 Y 10 </t>
  </si>
  <si>
    <t>Por ejemplo, si usted cree que la nota de explicación y análisis integral es de 6, usted debe de colocar 10, en el rango de porcentaje del 69%</t>
  </si>
  <si>
    <t>Activos Corrientes / Pasivos Corrientes.</t>
  </si>
  <si>
    <t>(Activos Corrientes - Inventario) / Pasivos Corrientes.</t>
  </si>
  <si>
    <t>Activo Corriente - Pasivo Corriente</t>
  </si>
  <si>
    <t>Costo de los Bienes Vendidos / Inventario</t>
  </si>
  <si>
    <t>Cuentas por cobrar / (Ingreso por ventas anuales / 365)</t>
  </si>
  <si>
    <t>FORMULAS USADAS</t>
  </si>
  <si>
    <t>Cuentas por pagar / (Ingreso por compras anuales / 365)</t>
  </si>
  <si>
    <t>Cuentas por pagar se utilizan proveedores nacionales e internacionales</t>
  </si>
  <si>
    <t>Total Pasivo / Total Patrimonio</t>
  </si>
  <si>
    <t>Notas</t>
  </si>
  <si>
    <t>Total de pasivos / Total de activos</t>
  </si>
  <si>
    <t>Utilidad Neta / Total de activos</t>
  </si>
  <si>
    <t>Utilidad neta / Patrimonio</t>
  </si>
  <si>
    <t>Utilidad Neta / Ventas</t>
  </si>
  <si>
    <t>2025</t>
  </si>
  <si>
    <t>Formula</t>
  </si>
  <si>
    <t>(Activos Corrientes - Inventarios) / Pasivos Corrientes</t>
  </si>
  <si>
    <t>Ingreso por ventas / Total de activos</t>
  </si>
  <si>
    <t>En el 2025 los márgenes de utilidad (1.84%), el ROA (2.16%) y el ROE (5.50%) superan los resultados de 2024. La empresa logró generar mayores ganancias en proporción a sus ventas y activos.</t>
  </si>
  <si>
    <t>En 2024 la liquidez es superior (1.42), la prueba ácida roza el 1.0 (0.97), el nivel de endeudamiento es menor (58.86%) y el inventario rota mucho más rápido. En 2025, el exceso de inventario redujo la liquidez inmediata (prueba ácida de 0.70).</t>
  </si>
  <si>
    <t>VASQUEZ MENJIVAR, LUIS ENRIQUE - VM15037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</si>
</sst>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&quot;$&quot;#,##0;[Red]\-&quot;$&quot;#,##0"/>
    <numFmt numFmtId="165" formatCode="&quot;$&quot;#,##0.00;[Red]\-&quot;$&quot;#,##0.00"/>
    <numFmt numFmtId="166" formatCode="&quot;$&quot;#,##0.00"/>
  </numFmts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11"/>
      <color theme="1"/>
      <name val="Times New Roman"/>
      <family val="1"/>
    </font>
    <font>
      <sz val="11"/>
      <color theme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 val="double"/>
      <sz val="11"/>
      <color theme="1"/>
      <name val="Calibri"/>
      <family val="2"/>
      <scheme val="minor"/>
    </font>
    <font>
      <b/>
      <u val="double"/>
      <sz val="10"/>
      <color theme="1"/>
      <name val="Calibri"/>
      <family val="2"/>
      <scheme val="minor"/>
    </font>
    <font>
      <b/>
      <u val="singleAccounting"/>
      <sz val="11"/>
      <color theme="1"/>
      <name val="Calibri"/>
      <family val="2"/>
      <scheme val="minor"/>
    </font>
    <font>
      <b/>
      <u val="doubleAccounting"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AF7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69">
    <xf numFmtId="0" fontId="0" fillId="0" borderId="0" xfId="0"/>
    <xf numFmtId="165" fontId="0" fillId="0" borderId="0" xfId="0" applyNumberFormat="1"/>
    <xf numFmtId="164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43" fontId="0" fillId="0" borderId="0" xfId="1" applyFont="1"/>
    <xf numFmtId="43" fontId="1" fillId="0" borderId="0" xfId="1" applyFont="1"/>
    <xf numFmtId="0" fontId="6" fillId="0" borderId="0" xfId="0" applyFont="1"/>
    <xf numFmtId="43" fontId="6" fillId="0" borderId="0" xfId="1" applyFont="1"/>
    <xf numFmtId="0" fontId="4" fillId="0" borderId="0" xfId="0" applyFont="1"/>
    <xf numFmtId="0" fontId="5" fillId="0" borderId="0" xfId="0" applyFont="1" applyAlignment="1">
      <alignment horizontal="justify" vertical="center"/>
    </xf>
    <xf numFmtId="43" fontId="0" fillId="0" borderId="0" xfId="1" applyFont="1" applyFill="1" applyBorder="1"/>
    <xf numFmtId="43" fontId="6" fillId="0" borderId="0" xfId="1" applyFont="1" applyFill="1" applyBorder="1"/>
    <xf numFmtId="43" fontId="0" fillId="0" borderId="0" xfId="1" applyFont="1" applyFill="1" applyBorder="1" applyAlignment="1">
      <alignment horizontal="center"/>
    </xf>
    <xf numFmtId="43" fontId="0" fillId="0" borderId="0" xfId="1" applyFont="1" applyBorder="1"/>
    <xf numFmtId="9" fontId="8" fillId="0" borderId="0" xfId="0" applyNumberFormat="1" applyFont="1" applyAlignment="1">
      <alignment horizontal="center"/>
    </xf>
    <xf numFmtId="0" fontId="10" fillId="0" borderId="0" xfId="0" applyFont="1"/>
    <xf numFmtId="0" fontId="11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165" fontId="0" fillId="0" borderId="0" xfId="0" applyNumberFormat="1" applyAlignment="1">
      <alignment horizontal="center" wrapText="1"/>
    </xf>
    <xf numFmtId="165" fontId="12" fillId="0" borderId="0" xfId="0" applyNumberFormat="1" applyFont="1" applyAlignment="1">
      <alignment horizontal="center" wrapText="1"/>
    </xf>
    <xf numFmtId="164" fontId="0" fillId="0" borderId="0" xfId="0" applyNumberFormat="1" applyAlignment="1">
      <alignment horizontal="center" wrapText="1"/>
    </xf>
    <xf numFmtId="164" fontId="12" fillId="0" borderId="0" xfId="0" applyNumberFormat="1" applyFont="1" applyAlignment="1">
      <alignment horizontal="center" wrapText="1"/>
    </xf>
    <xf numFmtId="0" fontId="1" fillId="0" borderId="1" xfId="0" applyFont="1" applyBorder="1" applyAlignment="1">
      <alignment horizontal="center"/>
    </xf>
    <xf numFmtId="43" fontId="1" fillId="0" borderId="1" xfId="1" applyFont="1" applyBorder="1" applyAlignment="1">
      <alignment horizontal="center"/>
    </xf>
    <xf numFmtId="0" fontId="9" fillId="0" borderId="1" xfId="0" applyFont="1" applyBorder="1"/>
    <xf numFmtId="43" fontId="6" fillId="0" borderId="1" xfId="1" applyFont="1" applyBorder="1" applyAlignment="1">
      <alignment horizontal="center"/>
    </xf>
    <xf numFmtId="43" fontId="0" fillId="0" borderId="1" xfId="1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164" fontId="13" fillId="0" borderId="0" xfId="0" applyNumberFormat="1" applyFont="1"/>
    <xf numFmtId="165" fontId="13" fillId="0" borderId="0" xfId="0" applyNumberFormat="1" applyFont="1"/>
    <xf numFmtId="165" fontId="14" fillId="0" borderId="0" xfId="0" applyNumberFormat="1" applyFont="1"/>
    <xf numFmtId="165" fontId="15" fillId="0" borderId="0" xfId="0" applyNumberFormat="1" applyFont="1" applyAlignment="1">
      <alignment horizontal="center" wrapText="1"/>
    </xf>
    <xf numFmtId="43" fontId="16" fillId="0" borderId="0" xfId="1" applyFont="1"/>
    <xf numFmtId="43" fontId="17" fillId="0" borderId="0" xfId="1" applyFont="1"/>
    <xf numFmtId="0" fontId="1" fillId="2" borderId="0" xfId="0" applyFont="1" applyFill="1"/>
    <xf numFmtId="0" fontId="18" fillId="3" borderId="5" xfId="0" applyFont="1" applyFill="1" applyBorder="1" applyAlignment="1">
      <alignment horizontal="center" vertical="center" wrapText="1"/>
    </xf>
    <xf numFmtId="0" fontId="18" fillId="3" borderId="6" xfId="0" applyFont="1" applyFill="1" applyBorder="1" applyAlignment="1">
      <alignment horizontal="center" vertical="center" wrapText="1"/>
    </xf>
    <xf numFmtId="0" fontId="19" fillId="0" borderId="5" xfId="0" applyFont="1" applyBorder="1" applyAlignment="1">
      <alignment vertical="center" wrapText="1"/>
    </xf>
    <xf numFmtId="0" fontId="19" fillId="0" borderId="6" xfId="0" applyFont="1" applyBorder="1" applyAlignment="1">
      <alignment horizontal="justify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4" borderId="6" xfId="0" applyFont="1" applyFill="1" applyBorder="1" applyAlignment="1">
      <alignment horizontal="center" vertical="center" wrapText="1"/>
    </xf>
    <xf numFmtId="0" fontId="19" fillId="0" borderId="6" xfId="0" applyFont="1" applyBorder="1" applyAlignment="1">
      <alignment horizontal="justify" vertical="center"/>
    </xf>
    <xf numFmtId="0" fontId="21" fillId="0" borderId="0" xfId="0" applyFont="1" applyAlignment="1">
      <alignment vertical="center"/>
    </xf>
    <xf numFmtId="0" fontId="18" fillId="3" borderId="2" xfId="0" applyFont="1" applyFill="1" applyBorder="1" applyAlignment="1">
      <alignment horizontal="center" vertical="center" wrapText="1"/>
    </xf>
    <xf numFmtId="0" fontId="18" fillId="3" borderId="3" xfId="0" applyFont="1" applyFill="1" applyBorder="1" applyAlignment="1">
      <alignment horizontal="center" vertical="center" wrapText="1"/>
    </xf>
    <xf numFmtId="0" fontId="18" fillId="3" borderId="4" xfId="0" applyFont="1" applyFill="1" applyBorder="1" applyAlignment="1">
      <alignment horizontal="center" vertical="center" wrapText="1"/>
    </xf>
    <xf numFmtId="0" fontId="20" fillId="4" borderId="2" xfId="0" applyFont="1" applyFill="1" applyBorder="1" applyAlignment="1">
      <alignment horizontal="center" vertical="center"/>
    </xf>
    <xf numFmtId="0" fontId="20" fillId="4" borderId="3" xfId="0" applyFont="1" applyFill="1" applyBorder="1" applyAlignment="1">
      <alignment horizontal="center" vertical="center"/>
    </xf>
    <xf numFmtId="0" fontId="20" fillId="4" borderId="4" xfId="0" applyFont="1" applyFill="1" applyBorder="1" applyAlignment="1">
      <alignment horizontal="center" vertical="center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0" fillId="0" borderId="0" xfId="0" applyAlignment="1">
      <alignment horizontal="center"/>
    </xf>
    <xf numFmtId="0" fontId="12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0" borderId="1" xfId="0" applyBorder="1" applyAlignment="1">
      <alignment wrapText="1"/>
    </xf>
    <xf numFmtId="43" fontId="0" fillId="0" borderId="1" xfId="1" applyNumberFormat="1" applyFont="1" applyBorder="1" applyAlignment="1">
      <alignment horizontal="center"/>
    </xf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5</xdr:col>
      <xdr:colOff>638829</xdr:colOff>
      <xdr:row>32</xdr:row>
      <xdr:rowOff>67482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052DFD2-23AF-46C6-806D-7FAEF61A54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381000"/>
          <a:ext cx="4686954" cy="57824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89C6A-7499-4872-9973-E4A29943B2ED}">
  <dimension ref="B35:H61"/>
  <sheetViews>
    <sheetView showGridLines="0" workbookViewId="0">
      <selection activeCell="B36" sqref="B36:H36"/>
    </sheetView>
  </sheetViews>
  <sheetFormatPr baseColWidth="10" defaultRowHeight="14.4" x14ac:dyDescent="0.3"/>
  <cols>
    <col min="2" max="2" width="18.44140625" customWidth="1"/>
    <col min="3" max="3" width="9.109375" customWidth="1"/>
    <col min="4" max="4" width="16" customWidth="1"/>
    <col min="5" max="5" width="17.109375" customWidth="1"/>
    <col min="6" max="6" width="16.33203125" customWidth="1"/>
    <col min="7" max="7" width="14.88671875" customWidth="1"/>
  </cols>
  <sheetData>
    <row r="35" spans="2:8" ht="15" thickBot="1" x14ac:dyDescent="0.35"/>
    <row r="36" spans="2:8" ht="15" thickBot="1" x14ac:dyDescent="0.35">
      <c r="B36" s="53" t="s">
        <v>121</v>
      </c>
      <c r="C36" s="54"/>
      <c r="D36" s="54"/>
      <c r="E36" s="54"/>
      <c r="F36" s="54"/>
      <c r="G36" s="54"/>
      <c r="H36" s="55"/>
    </row>
    <row r="37" spans="2:8" ht="29.4" thickBot="1" x14ac:dyDescent="0.35">
      <c r="B37" s="45" t="s">
        <v>122</v>
      </c>
      <c r="C37" s="46" t="s">
        <v>123</v>
      </c>
      <c r="D37" s="46" t="s">
        <v>124</v>
      </c>
      <c r="E37" s="46" t="s">
        <v>125</v>
      </c>
      <c r="F37" s="46" t="s">
        <v>126</v>
      </c>
      <c r="G37" s="46" t="s">
        <v>127</v>
      </c>
      <c r="H37" s="46" t="s">
        <v>128</v>
      </c>
    </row>
    <row r="38" spans="2:8" ht="303" thickBot="1" x14ac:dyDescent="0.35">
      <c r="B38" s="47" t="s">
        <v>129</v>
      </c>
      <c r="C38" s="48"/>
      <c r="D38" s="51" t="s">
        <v>130</v>
      </c>
      <c r="E38" s="48" t="s">
        <v>131</v>
      </c>
      <c r="F38" s="48" t="s">
        <v>132</v>
      </c>
      <c r="G38" s="48" t="s">
        <v>133</v>
      </c>
      <c r="H38" s="48"/>
    </row>
    <row r="39" spans="2:8" ht="15" thickBot="1" x14ac:dyDescent="0.35">
      <c r="B39" s="47"/>
      <c r="C39" s="49">
        <v>10</v>
      </c>
      <c r="D39" s="49"/>
      <c r="E39" s="49"/>
      <c r="F39" s="49"/>
      <c r="G39" s="49"/>
      <c r="H39" s="49">
        <v>0</v>
      </c>
    </row>
    <row r="40" spans="2:8" ht="245.4" thickBot="1" x14ac:dyDescent="0.35">
      <c r="B40" s="47" t="s">
        <v>174</v>
      </c>
      <c r="C40" s="48"/>
      <c r="D40" s="48" t="s">
        <v>134</v>
      </c>
      <c r="E40" s="48" t="s">
        <v>135</v>
      </c>
      <c r="F40" s="48" t="s">
        <v>136</v>
      </c>
      <c r="G40" s="48" t="s">
        <v>137</v>
      </c>
      <c r="H40" s="48"/>
    </row>
    <row r="41" spans="2:8" ht="15" thickBot="1" x14ac:dyDescent="0.35">
      <c r="B41" s="47"/>
      <c r="C41" s="49">
        <v>10</v>
      </c>
      <c r="D41" s="49"/>
      <c r="E41" s="49"/>
      <c r="F41" s="49"/>
      <c r="G41" s="49"/>
      <c r="H41" s="49">
        <v>0</v>
      </c>
    </row>
    <row r="42" spans="2:8" ht="274.2" thickBot="1" x14ac:dyDescent="0.35">
      <c r="B42" s="47" t="s">
        <v>138</v>
      </c>
      <c r="C42" s="48"/>
      <c r="D42" s="48" t="s">
        <v>139</v>
      </c>
      <c r="E42" s="48" t="s">
        <v>140</v>
      </c>
      <c r="F42" s="48" t="s">
        <v>141</v>
      </c>
      <c r="G42" s="48" t="s">
        <v>142</v>
      </c>
      <c r="H42" s="48"/>
    </row>
    <row r="43" spans="2:8" ht="15" thickBot="1" x14ac:dyDescent="0.35">
      <c r="B43" s="47"/>
      <c r="C43" s="48"/>
      <c r="D43" s="48"/>
      <c r="E43" s="48"/>
      <c r="F43" s="48"/>
      <c r="G43" s="48"/>
      <c r="H43" s="48"/>
    </row>
    <row r="44" spans="2:8" ht="15" thickBot="1" x14ac:dyDescent="0.35">
      <c r="B44" s="47"/>
      <c r="C44" s="49">
        <v>10</v>
      </c>
      <c r="D44" s="49"/>
      <c r="E44" s="49"/>
      <c r="F44" s="49"/>
      <c r="G44" s="49"/>
      <c r="H44" s="49">
        <v>0</v>
      </c>
    </row>
    <row r="45" spans="2:8" ht="231" thickBot="1" x14ac:dyDescent="0.35">
      <c r="B45" s="47" t="s">
        <v>143</v>
      </c>
      <c r="C45" s="48"/>
      <c r="D45" s="48" t="s">
        <v>144</v>
      </c>
      <c r="E45" s="48" t="s">
        <v>145</v>
      </c>
      <c r="F45" s="48" t="s">
        <v>146</v>
      </c>
      <c r="G45" s="48" t="s">
        <v>147</v>
      </c>
      <c r="H45" s="48"/>
    </row>
    <row r="46" spans="2:8" ht="15" thickBot="1" x14ac:dyDescent="0.35">
      <c r="B46" s="47"/>
      <c r="C46" s="49">
        <v>10</v>
      </c>
      <c r="D46" s="49"/>
      <c r="E46" s="49"/>
      <c r="F46" s="49"/>
      <c r="G46" s="49"/>
      <c r="H46" s="49">
        <v>0</v>
      </c>
    </row>
    <row r="47" spans="2:8" ht="245.4" thickBot="1" x14ac:dyDescent="0.35">
      <c r="B47" s="47" t="s">
        <v>148</v>
      </c>
      <c r="C47" s="48"/>
      <c r="D47" s="48" t="s">
        <v>149</v>
      </c>
      <c r="E47" s="48" t="s">
        <v>150</v>
      </c>
      <c r="F47" s="48" t="s">
        <v>151</v>
      </c>
      <c r="G47" s="48" t="s">
        <v>152</v>
      </c>
      <c r="H47" s="48"/>
    </row>
    <row r="48" spans="2:8" ht="15" thickBot="1" x14ac:dyDescent="0.35">
      <c r="B48" s="47"/>
      <c r="C48" s="49">
        <v>10</v>
      </c>
      <c r="D48" s="49"/>
      <c r="E48" s="49"/>
      <c r="F48" s="49"/>
      <c r="G48" s="49"/>
      <c r="H48" s="49">
        <v>0</v>
      </c>
    </row>
    <row r="49" spans="2:8" ht="231" thickBot="1" x14ac:dyDescent="0.35">
      <c r="B49" s="47" t="s">
        <v>173</v>
      </c>
      <c r="C49" s="48"/>
      <c r="D49" s="48" t="s">
        <v>153</v>
      </c>
      <c r="E49" s="48" t="s">
        <v>154</v>
      </c>
      <c r="F49" s="48" t="s">
        <v>155</v>
      </c>
      <c r="G49" s="48" t="s">
        <v>156</v>
      </c>
      <c r="H49" s="48"/>
    </row>
    <row r="50" spans="2:8" ht="15" thickBot="1" x14ac:dyDescent="0.35">
      <c r="B50" s="47"/>
      <c r="C50" s="49">
        <v>10</v>
      </c>
      <c r="D50" s="49"/>
      <c r="E50" s="49"/>
      <c r="F50" s="49"/>
      <c r="G50" s="49"/>
      <c r="H50" s="49">
        <v>0</v>
      </c>
    </row>
    <row r="51" spans="2:8" ht="288.60000000000002" thickBot="1" x14ac:dyDescent="0.35">
      <c r="B51" s="47" t="s">
        <v>172</v>
      </c>
      <c r="C51" s="48"/>
      <c r="D51" s="48" t="s">
        <v>157</v>
      </c>
      <c r="E51" s="48" t="s">
        <v>158</v>
      </c>
      <c r="F51" s="48" t="s">
        <v>159</v>
      </c>
      <c r="G51" s="48" t="s">
        <v>160</v>
      </c>
      <c r="H51" s="48"/>
    </row>
    <row r="52" spans="2:8" ht="15" thickBot="1" x14ac:dyDescent="0.35">
      <c r="B52" s="47"/>
      <c r="C52" s="49">
        <v>10</v>
      </c>
      <c r="D52" s="49"/>
      <c r="E52" s="49"/>
      <c r="F52" s="49"/>
      <c r="G52" s="49"/>
      <c r="H52" s="49">
        <v>0</v>
      </c>
    </row>
    <row r="53" spans="2:8" ht="288.60000000000002" thickBot="1" x14ac:dyDescent="0.35">
      <c r="B53" s="47" t="s">
        <v>161</v>
      </c>
      <c r="C53" s="48"/>
      <c r="D53" s="48" t="s">
        <v>162</v>
      </c>
      <c r="E53" s="48" t="s">
        <v>163</v>
      </c>
      <c r="F53" s="48" t="s">
        <v>164</v>
      </c>
      <c r="G53" s="48" t="s">
        <v>165</v>
      </c>
      <c r="H53" s="48"/>
    </row>
    <row r="54" spans="2:8" ht="15" thickBot="1" x14ac:dyDescent="0.35">
      <c r="B54" s="47"/>
      <c r="C54" s="49">
        <v>15</v>
      </c>
      <c r="D54" s="49"/>
      <c r="E54" s="49"/>
      <c r="F54" s="49"/>
      <c r="G54" s="49"/>
      <c r="H54" s="49">
        <v>0</v>
      </c>
    </row>
    <row r="55" spans="2:8" ht="274.2" thickBot="1" x14ac:dyDescent="0.35">
      <c r="B55" s="47" t="s">
        <v>166</v>
      </c>
      <c r="C55" s="48"/>
      <c r="D55" s="48" t="s">
        <v>167</v>
      </c>
      <c r="E55" s="48" t="s">
        <v>168</v>
      </c>
      <c r="F55" s="48" t="s">
        <v>169</v>
      </c>
      <c r="G55" s="48" t="s">
        <v>170</v>
      </c>
      <c r="H55" s="48"/>
    </row>
    <row r="56" spans="2:8" ht="15" thickBot="1" x14ac:dyDescent="0.35">
      <c r="B56" s="47"/>
      <c r="C56" s="49">
        <v>15</v>
      </c>
      <c r="D56" s="49"/>
      <c r="E56" s="49"/>
      <c r="F56" s="49"/>
      <c r="G56" s="49"/>
      <c r="H56" s="49">
        <v>0</v>
      </c>
    </row>
    <row r="57" spans="2:8" ht="15" thickBot="1" x14ac:dyDescent="0.35">
      <c r="B57" s="56" t="s">
        <v>171</v>
      </c>
      <c r="C57" s="57"/>
      <c r="D57" s="57"/>
      <c r="E57" s="57"/>
      <c r="F57" s="57"/>
      <c r="G57" s="58"/>
      <c r="H57" s="50">
        <v>0</v>
      </c>
    </row>
    <row r="60" spans="2:8" x14ac:dyDescent="0.3">
      <c r="B60" s="52" t="s">
        <v>175</v>
      </c>
    </row>
    <row r="61" spans="2:8" x14ac:dyDescent="0.3">
      <c r="B61" s="52" t="s">
        <v>176</v>
      </c>
    </row>
  </sheetData>
  <mergeCells count="2">
    <mergeCell ref="B36:H36"/>
    <mergeCell ref="B57:G5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42"/>
  <sheetViews>
    <sheetView showGridLines="0" workbookViewId="0">
      <selection activeCell="A3" sqref="A3"/>
    </sheetView>
  </sheetViews>
  <sheetFormatPr baseColWidth="10" defaultRowHeight="14.4" x14ac:dyDescent="0.3"/>
  <cols>
    <col min="1" max="1" width="49.44140625" customWidth="1"/>
    <col min="2" max="3" width="15.109375" customWidth="1"/>
    <col min="4" max="4" width="49.109375" bestFit="1" customWidth="1"/>
    <col min="5" max="5" width="59.33203125" bestFit="1" customWidth="1"/>
  </cols>
  <sheetData>
    <row r="2" spans="1:5" ht="57" customHeight="1" x14ac:dyDescent="0.3">
      <c r="A2" s="59" t="s">
        <v>102</v>
      </c>
      <c r="B2" s="59"/>
      <c r="C2" s="59"/>
    </row>
    <row r="3" spans="1:5" x14ac:dyDescent="0.3">
      <c r="A3" s="3" t="s">
        <v>197</v>
      </c>
      <c r="B3" s="3"/>
      <c r="C3" s="3"/>
    </row>
    <row r="4" spans="1:5" x14ac:dyDescent="0.3">
      <c r="A4" s="17" t="s">
        <v>23</v>
      </c>
      <c r="B4" s="3"/>
      <c r="C4" s="3"/>
    </row>
    <row r="5" spans="1:5" x14ac:dyDescent="0.3">
      <c r="A5" s="26" t="s">
        <v>101</v>
      </c>
      <c r="B5" s="26" t="s">
        <v>48</v>
      </c>
      <c r="C5" s="26"/>
      <c r="D5" s="26" t="s">
        <v>182</v>
      </c>
      <c r="E5" s="66" t="s">
        <v>186</v>
      </c>
    </row>
    <row r="6" spans="1:5" x14ac:dyDescent="0.3">
      <c r="A6" s="26"/>
      <c r="B6" s="26">
        <v>2025</v>
      </c>
      <c r="C6" s="26">
        <v>2024</v>
      </c>
      <c r="D6" s="26"/>
      <c r="E6" s="31"/>
    </row>
    <row r="7" spans="1:5" x14ac:dyDescent="0.3">
      <c r="A7" s="31" t="s">
        <v>24</v>
      </c>
      <c r="B7" s="34">
        <f>'Estados Financ EJ 1 Y 2'!B12/'Estados Financ EJ 1 Y 2'!B30</f>
        <v>1.2915698609078912</v>
      </c>
      <c r="C7" s="34">
        <f>'Estados Financ EJ 1 Y 2'!C12/'Estados Financ EJ 1 Y 2'!C30</f>
        <v>1.4158122159606155</v>
      </c>
      <c r="D7" s="26" t="s">
        <v>177</v>
      </c>
      <c r="E7" s="31"/>
    </row>
    <row r="8" spans="1:5" x14ac:dyDescent="0.3">
      <c r="A8" s="31" t="s">
        <v>25</v>
      </c>
      <c r="B8" s="34">
        <f>('Estados Financ EJ 1 Y 2'!B12-'Estados Financ EJ 1 Y 2'!B10)/'Estados Financ EJ 1 Y 2'!B30</f>
        <v>0.70235880235158077</v>
      </c>
      <c r="C8" s="34">
        <f>('Estados Financ EJ 1 Y 2'!C12-'Estados Financ EJ 1 Y 2'!C10)/'Estados Financ EJ 1 Y 2'!C30</f>
        <v>0.97242055736376098</v>
      </c>
      <c r="D8" s="26" t="s">
        <v>178</v>
      </c>
      <c r="E8" s="31"/>
    </row>
    <row r="9" spans="1:5" x14ac:dyDescent="0.3">
      <c r="A9" s="31" t="s">
        <v>26</v>
      </c>
      <c r="B9" s="35">
        <f>'Estados Financ EJ 1 Y 2'!B12-'Estados Financ EJ 1 Y 2'!B30</f>
        <v>2535523</v>
      </c>
      <c r="C9" s="35">
        <f>'Estados Financ EJ 1 Y 2'!C12-'Estados Financ EJ 1 Y 2'!C30</f>
        <v>2540275</v>
      </c>
      <c r="D9" s="26" t="s">
        <v>179</v>
      </c>
      <c r="E9" s="31"/>
    </row>
    <row r="10" spans="1:5" x14ac:dyDescent="0.3">
      <c r="A10" s="31" t="s">
        <v>27</v>
      </c>
      <c r="B10" s="34">
        <f>'Estados Financ EJ 1 Y 2'!I7/'Estados Financ EJ 1 Y 2'!B10</f>
        <v>3.8010253241561069</v>
      </c>
      <c r="C10" s="34">
        <f>'Estados Financ EJ 1 Y 2'!J7/'Estados Financ EJ 1 Y 2'!C10</f>
        <v>7.3274280547984452</v>
      </c>
      <c r="D10" s="26" t="s">
        <v>180</v>
      </c>
      <c r="E10" s="31"/>
    </row>
    <row r="11" spans="1:5" x14ac:dyDescent="0.3">
      <c r="A11" s="31" t="s">
        <v>28</v>
      </c>
      <c r="B11" s="34">
        <f>'Estados Financ EJ 1 Y 2'!B9/('Estados Financ EJ 1 Y 2'!I6/365)</f>
        <v>77.912468097110178</v>
      </c>
      <c r="C11" s="34">
        <f>'Estados Financ EJ 1 Y 2'!C9/('Estados Financ EJ 1 Y 2'!J6/365)</f>
        <v>75.095391651868738</v>
      </c>
      <c r="D11" s="26" t="s">
        <v>181</v>
      </c>
      <c r="E11" s="31"/>
    </row>
    <row r="12" spans="1:5" x14ac:dyDescent="0.3">
      <c r="A12" s="31" t="s">
        <v>29</v>
      </c>
      <c r="B12" s="34">
        <f>('Estados Financ EJ 1 Y 2'!B26+'Estados Financ EJ 1 Y 2'!B27)/('Estados Financ EJ 1 Y 2'!I7/365)</f>
        <v>76.289514499926753</v>
      </c>
      <c r="C12" s="34">
        <f>('Estados Financ EJ 1 Y 2'!C26+'Estados Financ EJ 1 Y 2'!C27)/('Estados Financ EJ 1 Y 2'!J7/365)</f>
        <v>46.238138636392719</v>
      </c>
      <c r="D12" s="26" t="s">
        <v>183</v>
      </c>
      <c r="E12" s="31" t="s">
        <v>184</v>
      </c>
    </row>
    <row r="13" spans="1:5" x14ac:dyDescent="0.3">
      <c r="A13" s="31" t="s">
        <v>30</v>
      </c>
      <c r="B13" s="34">
        <f>'Estados Financ EJ 1 Y 2'!B37/'Estados Financ EJ 1 Y 2'!B43</f>
        <v>1.5419670110972794</v>
      </c>
      <c r="C13" s="34">
        <f>'Estados Financ EJ 1 Y 2'!C37/'Estados Financ EJ 1 Y 2'!C43</f>
        <v>1.4309575602145621</v>
      </c>
      <c r="D13" s="26" t="s">
        <v>185</v>
      </c>
      <c r="E13" s="31"/>
    </row>
    <row r="14" spans="1:5" x14ac:dyDescent="0.3">
      <c r="A14" s="31" t="s">
        <v>31</v>
      </c>
      <c r="B14" s="34">
        <f>'Estados Financ EJ 1 Y 2'!B37/'Estados Financ EJ 1 Y 2'!B18</f>
        <v>0.6066038640020216</v>
      </c>
      <c r="C14" s="34">
        <f>'Estados Financ EJ 1 Y 2'!C37/'Estados Financ EJ 1 Y 2'!C18</f>
        <v>0.58863946604162942</v>
      </c>
      <c r="D14" s="26" t="s">
        <v>187</v>
      </c>
      <c r="E14" s="31"/>
    </row>
    <row r="15" spans="1:5" x14ac:dyDescent="0.3">
      <c r="A15" s="31" t="s">
        <v>32</v>
      </c>
      <c r="B15" s="36">
        <f>'Estados Financ EJ 1 Y 2'!I20/'Estados Financ EJ 1 Y 2'!B18</f>
        <v>2.1645723538874694E-2</v>
      </c>
      <c r="C15" s="36">
        <f>'Estados Financ EJ 1 Y 2'!J20/'Estados Financ EJ 1 Y 2'!C18</f>
        <v>1.8361450783695433E-2</v>
      </c>
      <c r="D15" s="26" t="s">
        <v>188</v>
      </c>
      <c r="E15" s="31"/>
    </row>
    <row r="16" spans="1:5" x14ac:dyDescent="0.3">
      <c r="A16" s="31" t="s">
        <v>33</v>
      </c>
      <c r="B16" s="36">
        <f>'Estados Financ EJ 1 Y 2'!I20/'Estados Financ EJ 1 Y 2'!B43</f>
        <v>5.5022715167151327E-2</v>
      </c>
      <c r="C16" s="36">
        <f>'Estados Financ EJ 1 Y 2'!J20/'Estados Financ EJ 1 Y 2'!C43</f>
        <v>4.463590759913201E-2</v>
      </c>
      <c r="D16" s="26" t="s">
        <v>189</v>
      </c>
      <c r="E16" s="31"/>
    </row>
    <row r="17" spans="1:5" x14ac:dyDescent="0.3">
      <c r="A17" s="31" t="s">
        <v>34</v>
      </c>
      <c r="B17" s="36">
        <f>'Estados Financ EJ 1 Y 2'!I20/'Estados Financ EJ 1 Y 2'!I6</f>
        <v>1.8415192762738852E-2</v>
      </c>
      <c r="C17" s="36">
        <f>'Estados Financ EJ 1 Y 2'!J20/'Estados Financ EJ 1 Y 2'!J6</f>
        <v>1.4121926543497518E-2</v>
      </c>
      <c r="D17" s="26" t="s">
        <v>190</v>
      </c>
      <c r="E17" s="31"/>
    </row>
    <row r="18" spans="1:5" ht="43.2" x14ac:dyDescent="0.3">
      <c r="A18" s="31" t="s">
        <v>119</v>
      </c>
      <c r="B18" s="37" t="s">
        <v>191</v>
      </c>
      <c r="C18" s="33"/>
      <c r="D18" s="26"/>
      <c r="E18" s="67" t="s">
        <v>195</v>
      </c>
    </row>
    <row r="19" spans="1:5" ht="57.6" x14ac:dyDescent="0.3">
      <c r="A19" s="31" t="s">
        <v>120</v>
      </c>
      <c r="B19" s="32"/>
      <c r="C19" s="32">
        <v>2024</v>
      </c>
      <c r="D19" s="26"/>
      <c r="E19" s="67" t="s">
        <v>196</v>
      </c>
    </row>
    <row r="20" spans="1:5" x14ac:dyDescent="0.3">
      <c r="B20" s="5"/>
      <c r="C20" s="5"/>
    </row>
    <row r="23" spans="1:5" x14ac:dyDescent="0.3">
      <c r="B23" s="2"/>
      <c r="C23" s="2"/>
    </row>
    <row r="25" spans="1:5" x14ac:dyDescent="0.3">
      <c r="B25" s="1"/>
      <c r="C25" s="1"/>
    </row>
    <row r="27" spans="1:5" x14ac:dyDescent="0.3">
      <c r="B27" s="1"/>
      <c r="C27" s="1"/>
    </row>
    <row r="29" spans="1:5" x14ac:dyDescent="0.3">
      <c r="B29" s="1"/>
      <c r="C29" s="1"/>
    </row>
    <row r="30" spans="1:5" x14ac:dyDescent="0.3">
      <c r="B30" s="1"/>
      <c r="C30" s="1"/>
    </row>
    <row r="35" spans="2:3" x14ac:dyDescent="0.3">
      <c r="B35" s="2"/>
      <c r="C35" s="2"/>
    </row>
    <row r="36" spans="2:3" x14ac:dyDescent="0.3">
      <c r="B36" s="1"/>
      <c r="C36" s="1"/>
    </row>
    <row r="37" spans="2:3" x14ac:dyDescent="0.3">
      <c r="B37" s="1"/>
      <c r="C37" s="1"/>
    </row>
    <row r="42" spans="2:3" x14ac:dyDescent="0.3">
      <c r="B42" s="1"/>
      <c r="C42" s="1"/>
    </row>
  </sheetData>
  <mergeCells count="1">
    <mergeCell ref="A2:C2"/>
  </mergeCells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J45"/>
  <sheetViews>
    <sheetView showGridLines="0" workbookViewId="0">
      <selection activeCell="B26" sqref="B26"/>
    </sheetView>
  </sheetViews>
  <sheetFormatPr baseColWidth="10" defaultRowHeight="14.4" x14ac:dyDescent="0.3"/>
  <cols>
    <col min="1" max="1" width="57.5546875" bestFit="1" customWidth="1"/>
    <col min="2" max="2" width="13.5546875" customWidth="1"/>
    <col min="3" max="3" width="14.44140625" customWidth="1"/>
    <col min="8" max="8" width="20.5546875" customWidth="1"/>
    <col min="9" max="9" width="22.44140625" style="5" customWidth="1"/>
    <col min="10" max="10" width="20.88671875" style="5" customWidth="1"/>
  </cols>
  <sheetData>
    <row r="2" spans="1:10" ht="18" x14ac:dyDescent="0.35">
      <c r="A2" s="60" t="s">
        <v>115</v>
      </c>
      <c r="B2" s="60"/>
      <c r="C2" s="60"/>
      <c r="H2" s="61" t="s">
        <v>116</v>
      </c>
      <c r="I2" s="61"/>
      <c r="J2" s="61"/>
    </row>
    <row r="3" spans="1:10" x14ac:dyDescent="0.3">
      <c r="A3" s="61" t="s">
        <v>35</v>
      </c>
      <c r="B3" s="61"/>
      <c r="C3" s="61"/>
      <c r="H3" s="61" t="s">
        <v>117</v>
      </c>
      <c r="I3" s="61"/>
      <c r="J3" s="61"/>
    </row>
    <row r="5" spans="1:10" x14ac:dyDescent="0.3">
      <c r="B5" s="4">
        <v>2025</v>
      </c>
      <c r="C5" s="4">
        <v>2024</v>
      </c>
      <c r="I5" s="4">
        <v>2025</v>
      </c>
      <c r="J5" s="4">
        <v>2024</v>
      </c>
    </row>
    <row r="6" spans="1:10" ht="27.6" x14ac:dyDescent="0.3">
      <c r="A6" s="44" t="s">
        <v>0</v>
      </c>
      <c r="H6" s="18" t="s">
        <v>103</v>
      </c>
      <c r="I6" s="24">
        <v>23829346</v>
      </c>
      <c r="J6" s="24">
        <v>23820900</v>
      </c>
    </row>
    <row r="7" spans="1:10" x14ac:dyDescent="0.3">
      <c r="A7" s="3" t="s">
        <v>1</v>
      </c>
      <c r="H7" s="18" t="s">
        <v>104</v>
      </c>
      <c r="I7" s="24">
        <v>19475857</v>
      </c>
      <c r="J7" s="24">
        <v>19848266</v>
      </c>
    </row>
    <row r="8" spans="1:10" x14ac:dyDescent="0.3">
      <c r="A8" t="s">
        <v>36</v>
      </c>
      <c r="B8" s="1">
        <v>595173</v>
      </c>
      <c r="C8" s="1">
        <v>613050</v>
      </c>
      <c r="H8" s="19" t="s">
        <v>105</v>
      </c>
      <c r="I8" s="24">
        <f>I6-I7</f>
        <v>4353489</v>
      </c>
      <c r="J8" s="24">
        <f>J6-J7</f>
        <v>3972634</v>
      </c>
    </row>
    <row r="9" spans="1:10" x14ac:dyDescent="0.3">
      <c r="A9" t="s">
        <v>37</v>
      </c>
      <c r="B9" s="2">
        <v>5086584</v>
      </c>
      <c r="C9" s="2">
        <v>4900931</v>
      </c>
      <c r="H9" s="20"/>
      <c r="I9" s="21"/>
      <c r="J9" s="21"/>
    </row>
    <row r="10" spans="1:10" x14ac:dyDescent="0.3">
      <c r="A10" t="s">
        <v>38</v>
      </c>
      <c r="B10" s="2">
        <v>5123843</v>
      </c>
      <c r="C10" s="2">
        <v>2708763</v>
      </c>
      <c r="H10" s="19" t="s">
        <v>106</v>
      </c>
      <c r="I10" s="21"/>
      <c r="J10" s="21"/>
    </row>
    <row r="11" spans="1:10" ht="27.6" x14ac:dyDescent="0.3">
      <c r="A11" t="s">
        <v>39</v>
      </c>
      <c r="B11" s="1">
        <v>426031</v>
      </c>
      <c r="C11" s="1">
        <v>426719</v>
      </c>
      <c r="H11" s="18" t="s">
        <v>107</v>
      </c>
      <c r="I11" s="24">
        <v>1140950</v>
      </c>
      <c r="J11" s="24">
        <v>1040242</v>
      </c>
    </row>
    <row r="12" spans="1:10" x14ac:dyDescent="0.3">
      <c r="A12" s="3" t="s">
        <v>2</v>
      </c>
      <c r="B12" s="39">
        <f>SUM(B8:B11)</f>
        <v>11231631</v>
      </c>
      <c r="C12" s="39">
        <f>SUM(C8:C11)</f>
        <v>8649463</v>
      </c>
      <c r="H12" s="18" t="s">
        <v>108</v>
      </c>
      <c r="I12" s="24">
        <v>2239379</v>
      </c>
      <c r="J12" s="24">
        <v>2107973</v>
      </c>
    </row>
    <row r="13" spans="1:10" x14ac:dyDescent="0.3">
      <c r="H13" s="18" t="s">
        <v>109</v>
      </c>
      <c r="I13" s="22">
        <v>509437</v>
      </c>
      <c r="J13" s="22">
        <v>532312</v>
      </c>
    </row>
    <row r="14" spans="1:10" x14ac:dyDescent="0.3">
      <c r="A14" s="3" t="s">
        <v>3</v>
      </c>
      <c r="H14" s="19" t="s">
        <v>110</v>
      </c>
      <c r="I14" s="25">
        <f>SUM(I11:I13)</f>
        <v>3889766</v>
      </c>
      <c r="J14" s="25">
        <f>SUM(J11:J13)</f>
        <v>3680527</v>
      </c>
    </row>
    <row r="15" spans="1:10" x14ac:dyDescent="0.3">
      <c r="A15" t="s">
        <v>4</v>
      </c>
      <c r="B15" s="1">
        <v>3754</v>
      </c>
      <c r="C15" s="1">
        <v>3754</v>
      </c>
      <c r="H15" s="20"/>
      <c r="I15" s="21"/>
      <c r="J15" s="21"/>
    </row>
    <row r="16" spans="1:10" x14ac:dyDescent="0.3">
      <c r="A16" t="s">
        <v>5</v>
      </c>
      <c r="B16" s="2">
        <v>8227209</v>
      </c>
      <c r="C16" s="2">
        <v>8766377</v>
      </c>
      <c r="H16" s="19" t="s">
        <v>111</v>
      </c>
      <c r="I16" s="23">
        <v>463723</v>
      </c>
      <c r="J16" s="23">
        <v>292107</v>
      </c>
    </row>
    <row r="17" spans="1:10" x14ac:dyDescent="0.3">
      <c r="A17" t="s">
        <v>6</v>
      </c>
      <c r="B17" s="1">
        <v>810325</v>
      </c>
      <c r="C17" s="1">
        <v>901235</v>
      </c>
      <c r="H17" s="18" t="s">
        <v>112</v>
      </c>
      <c r="I17" s="22">
        <v>8485</v>
      </c>
      <c r="J17" s="22">
        <v>44290</v>
      </c>
    </row>
    <row r="18" spans="1:10" ht="27.6" x14ac:dyDescent="0.3">
      <c r="A18" s="3" t="s">
        <v>7</v>
      </c>
      <c r="B18" s="39">
        <f>B12+B15+B16+B17</f>
        <v>20272919</v>
      </c>
      <c r="C18" s="39">
        <f>C12+C15+C16+C17</f>
        <v>18320829</v>
      </c>
      <c r="H18" s="19" t="s">
        <v>113</v>
      </c>
      <c r="I18" s="23">
        <f>SUM(I16:I17)</f>
        <v>472208</v>
      </c>
      <c r="J18" s="23">
        <f>SUM(J16:J17)</f>
        <v>336397</v>
      </c>
    </row>
    <row r="19" spans="1:10" x14ac:dyDescent="0.3">
      <c r="H19" s="18" t="s">
        <v>118</v>
      </c>
      <c r="I19" s="22">
        <v>33386</v>
      </c>
      <c r="J19" s="24">
        <v>0</v>
      </c>
    </row>
    <row r="20" spans="1:10" x14ac:dyDescent="0.3">
      <c r="A20" s="3" t="s">
        <v>8</v>
      </c>
      <c r="H20" s="19" t="s">
        <v>114</v>
      </c>
      <c r="I20" s="41">
        <f>I18-I19</f>
        <v>438822</v>
      </c>
      <c r="J20" s="41">
        <f>J18-J19</f>
        <v>336397</v>
      </c>
    </row>
    <row r="21" spans="1:10" x14ac:dyDescent="0.3">
      <c r="A21" s="3" t="s">
        <v>9</v>
      </c>
    </row>
    <row r="22" spans="1:10" x14ac:dyDescent="0.3">
      <c r="A22" t="s">
        <v>10</v>
      </c>
      <c r="B22" s="2">
        <v>0</v>
      </c>
      <c r="C22" s="1">
        <v>303815</v>
      </c>
    </row>
    <row r="23" spans="1:10" x14ac:dyDescent="0.3">
      <c r="A23" t="s">
        <v>40</v>
      </c>
      <c r="B23" s="2">
        <v>1021851</v>
      </c>
      <c r="C23" s="1">
        <v>685615</v>
      </c>
    </row>
    <row r="24" spans="1:10" x14ac:dyDescent="0.3">
      <c r="A24" t="s">
        <v>41</v>
      </c>
      <c r="B24" s="1">
        <v>24948</v>
      </c>
      <c r="C24" s="1">
        <v>49900</v>
      </c>
    </row>
    <row r="25" spans="1:10" x14ac:dyDescent="0.3">
      <c r="A25" t="s">
        <v>42</v>
      </c>
      <c r="B25" s="2">
        <v>2875811</v>
      </c>
      <c r="C25" s="2">
        <v>1973876</v>
      </c>
    </row>
    <row r="26" spans="1:10" x14ac:dyDescent="0.3">
      <c r="A26" t="s">
        <v>11</v>
      </c>
      <c r="B26" s="1">
        <v>331826</v>
      </c>
      <c r="C26" s="1">
        <v>386634</v>
      </c>
    </row>
    <row r="27" spans="1:10" x14ac:dyDescent="0.3">
      <c r="A27" t="s">
        <v>43</v>
      </c>
      <c r="B27" s="2">
        <v>3738869</v>
      </c>
      <c r="C27" s="2">
        <v>2127741</v>
      </c>
    </row>
    <row r="28" spans="1:10" x14ac:dyDescent="0.3">
      <c r="A28" t="s">
        <v>44</v>
      </c>
      <c r="B28" s="1">
        <v>86634</v>
      </c>
      <c r="C28" s="1">
        <v>21384</v>
      </c>
    </row>
    <row r="29" spans="1:10" x14ac:dyDescent="0.3">
      <c r="A29" t="s">
        <v>45</v>
      </c>
      <c r="B29" s="1">
        <v>616169</v>
      </c>
      <c r="C29" s="1">
        <v>560223</v>
      </c>
    </row>
    <row r="30" spans="1:10" x14ac:dyDescent="0.3">
      <c r="A30" s="3" t="s">
        <v>12</v>
      </c>
      <c r="B30" s="38">
        <f>SUM(B22:B29)</f>
        <v>8696108</v>
      </c>
      <c r="C30" s="38">
        <f>SUM(C22:C29)</f>
        <v>6109188</v>
      </c>
    </row>
    <row r="32" spans="1:10" x14ac:dyDescent="0.3">
      <c r="A32" s="3" t="s">
        <v>13</v>
      </c>
    </row>
    <row r="33" spans="1:3" x14ac:dyDescent="0.3">
      <c r="A33" t="s">
        <v>46</v>
      </c>
      <c r="B33" s="2">
        <v>3597478</v>
      </c>
      <c r="C33" s="2">
        <v>4647788</v>
      </c>
    </row>
    <row r="34" spans="1:3" x14ac:dyDescent="0.3">
      <c r="A34" t="s">
        <v>47</v>
      </c>
      <c r="B34" s="2">
        <v>0</v>
      </c>
      <c r="C34" s="1">
        <v>25603</v>
      </c>
    </row>
    <row r="35" spans="1:3" x14ac:dyDescent="0.3">
      <c r="A35" t="s">
        <v>14</v>
      </c>
      <c r="B35" s="1">
        <v>1143</v>
      </c>
      <c r="C35" s="1">
        <v>1143</v>
      </c>
    </row>
    <row r="36" spans="1:3" x14ac:dyDescent="0.3">
      <c r="A36" t="s">
        <v>15</v>
      </c>
      <c r="B36" s="1">
        <v>2902</v>
      </c>
      <c r="C36" s="2">
        <v>641</v>
      </c>
    </row>
    <row r="37" spans="1:3" x14ac:dyDescent="0.3">
      <c r="A37" s="3" t="s">
        <v>16</v>
      </c>
      <c r="B37" s="39">
        <f>B30+B33+B34+B35+B36</f>
        <v>12297631</v>
      </c>
      <c r="C37" s="39">
        <f>C30+C33+C34+C35+C36</f>
        <v>10784363</v>
      </c>
    </row>
    <row r="39" spans="1:3" x14ac:dyDescent="0.3">
      <c r="A39" s="3" t="s">
        <v>17</v>
      </c>
    </row>
    <row r="40" spans="1:3" x14ac:dyDescent="0.3">
      <c r="A40" t="s">
        <v>18</v>
      </c>
      <c r="B40" s="2">
        <v>5280000</v>
      </c>
      <c r="C40" s="2">
        <v>5280000</v>
      </c>
    </row>
    <row r="41" spans="1:3" x14ac:dyDescent="0.3">
      <c r="A41" t="s">
        <v>19</v>
      </c>
      <c r="B41" s="1">
        <v>956497</v>
      </c>
      <c r="C41" s="1">
        <v>923443</v>
      </c>
    </row>
    <row r="42" spans="1:3" x14ac:dyDescent="0.3">
      <c r="A42" t="s">
        <v>20</v>
      </c>
      <c r="B42" s="2">
        <v>1738791</v>
      </c>
      <c r="C42" s="2">
        <v>1333023</v>
      </c>
    </row>
    <row r="43" spans="1:3" x14ac:dyDescent="0.3">
      <c r="A43" s="3" t="s">
        <v>21</v>
      </c>
      <c r="B43" s="2">
        <v>7975288</v>
      </c>
      <c r="C43" s="2">
        <v>7536466</v>
      </c>
    </row>
    <row r="44" spans="1:3" x14ac:dyDescent="0.3">
      <c r="A44" s="3"/>
    </row>
    <row r="45" spans="1:3" x14ac:dyDescent="0.3">
      <c r="A45" s="3" t="s">
        <v>22</v>
      </c>
      <c r="B45" s="40">
        <f>B37+B43</f>
        <v>20272919</v>
      </c>
      <c r="C45" s="40">
        <f>C37+C43</f>
        <v>18320829</v>
      </c>
    </row>
  </sheetData>
  <mergeCells count="4">
    <mergeCell ref="A2:C2"/>
    <mergeCell ref="H2:J2"/>
    <mergeCell ref="H3:J3"/>
    <mergeCell ref="A3:C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A2:J64"/>
  <sheetViews>
    <sheetView showGridLines="0" tabSelected="1" topLeftCell="A19" zoomScale="120" zoomScaleNormal="120" workbookViewId="0">
      <selection activeCell="B24" sqref="B24"/>
    </sheetView>
  </sheetViews>
  <sheetFormatPr baseColWidth="10" defaultRowHeight="14.4" x14ac:dyDescent="0.3"/>
  <cols>
    <col min="1" max="1" width="31.33203125" bestFit="1" customWidth="1"/>
    <col min="2" max="2" width="18.33203125" style="6" bestFit="1" customWidth="1"/>
    <col min="4" max="4" width="28.5546875" bestFit="1" customWidth="1"/>
    <col min="5" max="5" width="14.109375" style="6" bestFit="1" customWidth="1"/>
    <col min="8" max="8" width="25.6640625" customWidth="1"/>
    <col min="9" max="9" width="20.33203125" customWidth="1"/>
    <col min="10" max="10" width="29.5546875" customWidth="1"/>
  </cols>
  <sheetData>
    <row r="2" spans="1:10" x14ac:dyDescent="0.3">
      <c r="A2" s="62" t="s">
        <v>99</v>
      </c>
      <c r="B2" s="62"/>
      <c r="C2" s="62"/>
      <c r="D2" s="62"/>
      <c r="E2" s="62"/>
      <c r="H2" s="63"/>
      <c r="I2" s="63"/>
      <c r="J2" s="63"/>
    </row>
    <row r="3" spans="1:10" x14ac:dyDescent="0.3">
      <c r="A3" s="61" t="s">
        <v>81</v>
      </c>
      <c r="B3" s="61"/>
      <c r="C3" s="61"/>
      <c r="D3" s="61"/>
      <c r="E3" s="61"/>
      <c r="H3" s="64" t="s">
        <v>96</v>
      </c>
      <c r="I3" s="64"/>
      <c r="J3" s="64"/>
    </row>
    <row r="4" spans="1:10" x14ac:dyDescent="0.3">
      <c r="A4" s="61" t="s">
        <v>82</v>
      </c>
      <c r="B4" s="61"/>
      <c r="C4" s="61"/>
      <c r="D4" s="61"/>
      <c r="E4" s="61"/>
      <c r="H4" s="65"/>
      <c r="I4" s="65"/>
      <c r="J4" s="65"/>
    </row>
    <row r="5" spans="1:10" x14ac:dyDescent="0.3">
      <c r="I5" t="s">
        <v>85</v>
      </c>
      <c r="J5" s="6">
        <v>420000</v>
      </c>
    </row>
    <row r="6" spans="1:10" x14ac:dyDescent="0.3">
      <c r="A6" t="s">
        <v>49</v>
      </c>
      <c r="D6" t="s">
        <v>50</v>
      </c>
      <c r="H6" s="10" t="s">
        <v>86</v>
      </c>
      <c r="I6" t="s">
        <v>87</v>
      </c>
      <c r="J6" s="6">
        <v>197400</v>
      </c>
    </row>
    <row r="7" spans="1:10" x14ac:dyDescent="0.3">
      <c r="A7" t="s">
        <v>51</v>
      </c>
      <c r="B7" s="6">
        <v>110824.86</v>
      </c>
      <c r="D7" t="s">
        <v>52</v>
      </c>
      <c r="E7" s="6">
        <v>13075.7</v>
      </c>
      <c r="I7" s="3" t="s">
        <v>88</v>
      </c>
      <c r="J7" s="7">
        <f>J5-J6</f>
        <v>222600</v>
      </c>
    </row>
    <row r="8" spans="1:10" x14ac:dyDescent="0.3">
      <c r="A8" t="s">
        <v>53</v>
      </c>
      <c r="B8" s="6">
        <v>33840</v>
      </c>
      <c r="D8" t="s">
        <v>54</v>
      </c>
      <c r="E8" s="6">
        <v>1236.3</v>
      </c>
      <c r="I8" t="s">
        <v>89</v>
      </c>
      <c r="J8" s="6">
        <f>J9+J10+J11</f>
        <v>124900</v>
      </c>
    </row>
    <row r="9" spans="1:10" x14ac:dyDescent="0.3">
      <c r="A9" t="s">
        <v>55</v>
      </c>
      <c r="B9" s="6">
        <v>-1690.47</v>
      </c>
      <c r="D9" t="s">
        <v>56</v>
      </c>
      <c r="E9" s="6">
        <v>1128.6600000000001</v>
      </c>
      <c r="H9" s="10" t="s">
        <v>86</v>
      </c>
      <c r="I9" t="s">
        <v>90</v>
      </c>
      <c r="J9" s="6">
        <v>61671.1</v>
      </c>
    </row>
    <row r="10" spans="1:10" x14ac:dyDescent="0.3">
      <c r="A10" t="s">
        <v>57</v>
      </c>
      <c r="B10" s="6">
        <v>63250</v>
      </c>
      <c r="D10" t="s">
        <v>58</v>
      </c>
      <c r="E10" s="6">
        <v>23126.3</v>
      </c>
      <c r="H10" s="10" t="s">
        <v>86</v>
      </c>
      <c r="I10" t="s">
        <v>91</v>
      </c>
      <c r="J10" s="6">
        <v>61802.27</v>
      </c>
    </row>
    <row r="11" spans="1:10" ht="16.2" x14ac:dyDescent="0.45">
      <c r="A11" s="3" t="s">
        <v>59</v>
      </c>
      <c r="B11" s="42">
        <f>SUM(B7:B10)</f>
        <v>206224.38999999998</v>
      </c>
      <c r="D11" t="s">
        <v>60</v>
      </c>
      <c r="E11" s="42">
        <f>SUM(E7:E10)</f>
        <v>38566.959999999999</v>
      </c>
      <c r="H11" s="10" t="s">
        <v>86</v>
      </c>
      <c r="I11" t="s">
        <v>92</v>
      </c>
      <c r="J11" s="6">
        <v>1426.63</v>
      </c>
    </row>
    <row r="12" spans="1:10" x14ac:dyDescent="0.3">
      <c r="D12" t="s">
        <v>61</v>
      </c>
      <c r="I12" s="3" t="s">
        <v>93</v>
      </c>
      <c r="J12" s="7">
        <f>J7-J8</f>
        <v>97700</v>
      </c>
    </row>
    <row r="13" spans="1:10" x14ac:dyDescent="0.3">
      <c r="A13" t="s">
        <v>62</v>
      </c>
      <c r="D13" t="s">
        <v>63</v>
      </c>
      <c r="E13" s="6">
        <v>12000</v>
      </c>
      <c r="H13" s="10" t="s">
        <v>86</v>
      </c>
      <c r="I13" t="s">
        <v>94</v>
      </c>
      <c r="J13" s="6">
        <f>J12*0.07</f>
        <v>6839.0000000000009</v>
      </c>
    </row>
    <row r="14" spans="1:10" x14ac:dyDescent="0.3">
      <c r="A14" t="s">
        <v>64</v>
      </c>
      <c r="B14" s="6">
        <v>205000</v>
      </c>
      <c r="D14" t="s">
        <v>65</v>
      </c>
      <c r="E14" s="6">
        <v>3309.53</v>
      </c>
      <c r="I14" s="3" t="s">
        <v>93</v>
      </c>
      <c r="J14" s="7">
        <f>J12-J13</f>
        <v>90861</v>
      </c>
    </row>
    <row r="15" spans="1:10" x14ac:dyDescent="0.3">
      <c r="A15" t="s">
        <v>66</v>
      </c>
      <c r="B15" s="6">
        <v>-20500</v>
      </c>
      <c r="D15" t="s">
        <v>67</v>
      </c>
      <c r="E15" s="6">
        <f>SUM(E13:E14)</f>
        <v>15309.53</v>
      </c>
      <c r="H15" s="10" t="s">
        <v>86</v>
      </c>
      <c r="I15" t="s">
        <v>95</v>
      </c>
      <c r="J15" s="6">
        <f>27258.3-450+450</f>
        <v>27258.3</v>
      </c>
    </row>
    <row r="16" spans="1:10" ht="16.2" x14ac:dyDescent="0.45">
      <c r="A16" t="s">
        <v>68</v>
      </c>
      <c r="B16" s="6">
        <v>1500</v>
      </c>
      <c r="D16" s="3" t="s">
        <v>69</v>
      </c>
      <c r="E16" s="42">
        <f>E11+E15</f>
        <v>53876.49</v>
      </c>
    </row>
    <row r="17" spans="1:5" x14ac:dyDescent="0.3">
      <c r="D17" t="s">
        <v>70</v>
      </c>
    </row>
    <row r="18" spans="1:5" x14ac:dyDescent="0.3">
      <c r="D18" t="s">
        <v>71</v>
      </c>
      <c r="E18" s="6">
        <v>250000</v>
      </c>
    </row>
    <row r="19" spans="1:5" ht="16.2" x14ac:dyDescent="0.45">
      <c r="A19" t="s">
        <v>72</v>
      </c>
      <c r="B19" s="42">
        <f>B14+B15+B16+B17+B18</f>
        <v>186000</v>
      </c>
      <c r="D19" t="s">
        <v>73</v>
      </c>
      <c r="E19" s="6">
        <v>24745.200000000001</v>
      </c>
    </row>
    <row r="20" spans="1:5" x14ac:dyDescent="0.3">
      <c r="D20" t="s">
        <v>74</v>
      </c>
      <c r="E20" s="6">
        <v>63602.7</v>
      </c>
    </row>
    <row r="21" spans="1:5" x14ac:dyDescent="0.3">
      <c r="D21" t="s">
        <v>75</v>
      </c>
      <c r="E21" s="6">
        <f>SUM(E18:E20)</f>
        <v>338347.9</v>
      </c>
    </row>
    <row r="22" spans="1:5" ht="16.2" x14ac:dyDescent="0.45">
      <c r="A22" s="3" t="s">
        <v>76</v>
      </c>
      <c r="B22" s="43">
        <f>B11+B19</f>
        <v>392224.39</v>
      </c>
      <c r="C22" s="3"/>
      <c r="D22" s="3" t="s">
        <v>77</v>
      </c>
      <c r="E22" s="43">
        <f>E16+E21</f>
        <v>392224.39</v>
      </c>
    </row>
    <row r="25" spans="1:5" x14ac:dyDescent="0.3">
      <c r="A25" s="3" t="s">
        <v>197</v>
      </c>
    </row>
    <row r="26" spans="1:5" x14ac:dyDescent="0.3">
      <c r="A26" s="17" t="s">
        <v>100</v>
      </c>
      <c r="B26" s="12"/>
    </row>
    <row r="27" spans="1:5" x14ac:dyDescent="0.3">
      <c r="A27" s="26" t="s">
        <v>83</v>
      </c>
      <c r="B27" s="27" t="s">
        <v>97</v>
      </c>
      <c r="C27" s="4" t="s">
        <v>192</v>
      </c>
    </row>
    <row r="28" spans="1:5" x14ac:dyDescent="0.3">
      <c r="A28" s="28" t="s">
        <v>78</v>
      </c>
      <c r="B28" s="29">
        <f>B11/E11</f>
        <v>5.3471777397025848</v>
      </c>
      <c r="C28" t="s">
        <v>177</v>
      </c>
    </row>
    <row r="29" spans="1:5" x14ac:dyDescent="0.3">
      <c r="A29" s="28" t="s">
        <v>84</v>
      </c>
      <c r="B29" s="30">
        <f>(B11-B10)/E11</f>
        <v>3.7071729272932061</v>
      </c>
      <c r="C29" t="s">
        <v>193</v>
      </c>
      <c r="E29" s="15"/>
    </row>
    <row r="30" spans="1:5" x14ac:dyDescent="0.3">
      <c r="A30" s="28" t="s">
        <v>79</v>
      </c>
      <c r="B30" s="29">
        <f>J5/B22</f>
        <v>1.0708156114411957</v>
      </c>
      <c r="C30" t="s">
        <v>194</v>
      </c>
    </row>
    <row r="31" spans="1:5" x14ac:dyDescent="0.3">
      <c r="A31" s="28" t="s">
        <v>98</v>
      </c>
      <c r="B31" s="30">
        <f>J6/B10</f>
        <v>3.1209486166007907</v>
      </c>
      <c r="C31" t="s">
        <v>180</v>
      </c>
    </row>
    <row r="32" spans="1:5" x14ac:dyDescent="0.3">
      <c r="A32" s="28" t="s">
        <v>80</v>
      </c>
      <c r="B32" s="68">
        <f>E16/B22</f>
        <v>0.13736139662298918</v>
      </c>
      <c r="C32" t="s">
        <v>187</v>
      </c>
      <c r="D32" s="8"/>
      <c r="E32" s="9"/>
    </row>
    <row r="33" spans="1:5" x14ac:dyDescent="0.3">
      <c r="C33" s="16"/>
    </row>
    <row r="34" spans="1:5" x14ac:dyDescent="0.3">
      <c r="A34" s="11"/>
      <c r="B34" s="12"/>
      <c r="D34" s="11"/>
      <c r="E34" s="12"/>
    </row>
    <row r="35" spans="1:5" x14ac:dyDescent="0.3">
      <c r="B35" s="12"/>
      <c r="E35" s="12"/>
    </row>
    <row r="36" spans="1:5" x14ac:dyDescent="0.3">
      <c r="B36" s="12"/>
      <c r="E36" s="12"/>
    </row>
    <row r="37" spans="1:5" x14ac:dyDescent="0.3">
      <c r="B37" s="12"/>
      <c r="E37" s="12"/>
    </row>
    <row r="38" spans="1:5" x14ac:dyDescent="0.3">
      <c r="B38" s="12"/>
      <c r="E38" s="12"/>
    </row>
    <row r="39" spans="1:5" x14ac:dyDescent="0.3">
      <c r="B39" s="12"/>
      <c r="E39" s="12"/>
    </row>
    <row r="40" spans="1:5" x14ac:dyDescent="0.3">
      <c r="B40" s="12"/>
      <c r="D40" s="8"/>
      <c r="E40" s="13"/>
    </row>
    <row r="41" spans="1:5" x14ac:dyDescent="0.3">
      <c r="A41" s="8"/>
      <c r="B41" s="13"/>
      <c r="D41" s="8"/>
      <c r="E41" s="13"/>
    </row>
    <row r="42" spans="1:5" x14ac:dyDescent="0.3">
      <c r="B42" s="12"/>
      <c r="E42" s="12"/>
    </row>
    <row r="43" spans="1:5" x14ac:dyDescent="0.3">
      <c r="A43" s="11"/>
      <c r="B43" s="12"/>
      <c r="D43" s="11"/>
      <c r="E43" s="12"/>
    </row>
    <row r="44" spans="1:5" x14ac:dyDescent="0.3">
      <c r="B44" s="12"/>
      <c r="E44" s="12"/>
    </row>
    <row r="45" spans="1:5" x14ac:dyDescent="0.3">
      <c r="B45" s="12"/>
      <c r="E45" s="12"/>
    </row>
    <row r="46" spans="1:5" x14ac:dyDescent="0.3">
      <c r="B46" s="12"/>
      <c r="E46" s="12"/>
    </row>
    <row r="47" spans="1:5" x14ac:dyDescent="0.3">
      <c r="B47" s="12"/>
      <c r="E47" s="12"/>
    </row>
    <row r="48" spans="1:5" x14ac:dyDescent="0.3">
      <c r="B48" s="12"/>
      <c r="E48" s="12"/>
    </row>
    <row r="49" spans="1:5" x14ac:dyDescent="0.3">
      <c r="B49" s="12"/>
      <c r="E49" s="12"/>
    </row>
    <row r="50" spans="1:5" x14ac:dyDescent="0.3">
      <c r="A50" s="8"/>
      <c r="B50" s="13"/>
      <c r="D50" s="8"/>
      <c r="E50" s="13"/>
    </row>
    <row r="51" spans="1:5" x14ac:dyDescent="0.3">
      <c r="B51" s="12"/>
      <c r="E51" s="12"/>
    </row>
    <row r="52" spans="1:5" x14ac:dyDescent="0.3">
      <c r="B52" s="12"/>
      <c r="E52" s="12"/>
    </row>
    <row r="53" spans="1:5" x14ac:dyDescent="0.3">
      <c r="A53" s="11"/>
      <c r="B53" s="12"/>
      <c r="E53" s="12"/>
    </row>
    <row r="54" spans="1:5" x14ac:dyDescent="0.3">
      <c r="B54" s="12"/>
      <c r="E54" s="12"/>
    </row>
    <row r="55" spans="1:5" x14ac:dyDescent="0.3">
      <c r="B55" s="12"/>
      <c r="E55" s="12"/>
    </row>
    <row r="56" spans="1:5" x14ac:dyDescent="0.3">
      <c r="B56" s="12"/>
      <c r="E56" s="12"/>
    </row>
    <row r="57" spans="1:5" x14ac:dyDescent="0.3">
      <c r="B57" s="12"/>
      <c r="E57" s="12"/>
    </row>
    <row r="58" spans="1:5" x14ac:dyDescent="0.3">
      <c r="B58" s="12"/>
      <c r="E58" s="12"/>
    </row>
    <row r="59" spans="1:5" x14ac:dyDescent="0.3">
      <c r="B59" s="14"/>
      <c r="E59" s="12"/>
    </row>
    <row r="60" spans="1:5" x14ac:dyDescent="0.3">
      <c r="B60" s="14"/>
      <c r="E60" s="12"/>
    </row>
    <row r="61" spans="1:5" x14ac:dyDescent="0.3">
      <c r="B61" s="12"/>
      <c r="E61" s="12"/>
    </row>
    <row r="62" spans="1:5" x14ac:dyDescent="0.3">
      <c r="A62" s="8"/>
      <c r="B62" s="13"/>
      <c r="E62" s="12"/>
    </row>
    <row r="63" spans="1:5" x14ac:dyDescent="0.3">
      <c r="B63" s="12"/>
      <c r="E63" s="12"/>
    </row>
    <row r="64" spans="1:5" x14ac:dyDescent="0.3">
      <c r="B64" s="12"/>
      <c r="E64" s="12"/>
    </row>
  </sheetData>
  <mergeCells count="6">
    <mergeCell ref="A2:E2"/>
    <mergeCell ref="A3:E3"/>
    <mergeCell ref="A4:E4"/>
    <mergeCell ref="H2:J2"/>
    <mergeCell ref="H3:J3"/>
    <mergeCell ref="H4:J4"/>
  </mergeCells>
  <pageMargins left="0.7" right="0.7" top="0.75" bottom="0.75" header="0.3" footer="0.3"/>
  <pageSetup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Hoja de datos</vt:lpstr>
      <vt:lpstr>Planteamiento EJ 1 Y 2</vt:lpstr>
      <vt:lpstr>Estados Financ EJ 1 Y 2</vt:lpstr>
      <vt:lpstr>Estad Financi EJ 3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Luis Enrique Vasquez Menjivar</cp:lastModifiedBy>
  <dcterms:created xsi:type="dcterms:W3CDTF">2026-09-30T03:33:03Z</dcterms:created>
  <dcterms:modified xsi:type="dcterms:W3CDTF">2026-10-01T03:51:31Z</dcterms:modified>
</cp:coreProperties>
</file>