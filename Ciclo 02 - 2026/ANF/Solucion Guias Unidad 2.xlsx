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2 - 2026\ANF\"/>
    </mc:Choice>
  </mc:AlternateContent>
  <xr:revisionPtr revIDLastSave="0" documentId="13_ncr:1_{64C1D3C5-C119-4BD1-AB84-6D5D0BD5F55B}" xr6:coauthVersionLast="47" xr6:coauthVersionMax="47" xr10:uidLastSave="{00000000-0000-0000-0000-000000000000}"/>
  <bookViews>
    <workbookView xWindow="-120" yWindow="-120" windowWidth="29040" windowHeight="15720" xr2:uid="{08D49F0D-E8C0-41E5-A329-64EBEE12A91B}"/>
  </bookViews>
  <sheets>
    <sheet name="Gui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28" i="1"/>
  <c r="B26" i="1"/>
  <c r="B25" i="1"/>
  <c r="B13" i="1"/>
  <c r="B12" i="1"/>
  <c r="B15" i="1" s="1"/>
  <c r="B5" i="1"/>
</calcChain>
</file>

<file path=xl/sharedStrings.xml><?xml version="1.0" encoding="utf-8"?>
<sst xmlns="http://schemas.openxmlformats.org/spreadsheetml/2006/main" count="26" uniqueCount="23">
  <si>
    <t>Activos Corrientes</t>
  </si>
  <si>
    <t>Pasivos Corrientes</t>
  </si>
  <si>
    <t>Liquidez corriente = Activos Corrientes / Pasivos Corrientes</t>
  </si>
  <si>
    <t>Liquidez Corriente</t>
  </si>
  <si>
    <t>Compra de 2 camiones nuevos</t>
  </si>
  <si>
    <t>Prestamo a corto plazo</t>
  </si>
  <si>
    <t>Venta de acciones ordinarias</t>
  </si>
  <si>
    <t>Incremento en cuentas por pagar</t>
  </si>
  <si>
    <t>Nuevo Activo Corriente</t>
  </si>
  <si>
    <t>Nuevo Pasivo Corriente</t>
  </si>
  <si>
    <t>Nueva Liquidez Corriente</t>
  </si>
  <si>
    <t>Pasivo</t>
  </si>
  <si>
    <t>Activo y Pasivo</t>
  </si>
  <si>
    <t>Activo</t>
  </si>
  <si>
    <t>Efectivo</t>
  </si>
  <si>
    <t>Valores negociables</t>
  </si>
  <si>
    <t>Cuentas de cheques</t>
  </si>
  <si>
    <t>Pagos de tarjetas de credito</t>
  </si>
  <si>
    <t>Facturas por pagar a corto plazo</t>
  </si>
  <si>
    <t>Activo Corriente</t>
  </si>
  <si>
    <t>Liquidez de amigos</t>
  </si>
  <si>
    <t>Diferencia</t>
  </si>
  <si>
    <t>ANF115 se encuentra en una posición financiera más sólida que sus amigos, ya que dispone de $2.38 para cubrir cada dólar de deuda a corto plazo, mientras que sus amigos solo cuentan con $1.80 por cada dólar de deuda. Esto indica que ANF115 tiene mayor solvencia inmediata y menor riesgo de impago.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</si>
</sst>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 [$$-300A]* #,##0.00_ ;_ [$$-300A]* \-#,##0.00_ ;_ [$$-300A]* &quot;-&quot;??_ ;_ @_ "/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6" fontId="0" fillId="0" borderId="0" xfId="0" applyNumberFormat="1"/>
    <xf numFmtId="0" fontId="1" fillId="0" borderId="1" xfId="0" applyFont="1" applyBorder="1"/>
    <xf numFmtId="166" fontId="0" fillId="0" borderId="2" xfId="0" applyNumberFormat="1" applyBorder="1"/>
    <xf numFmtId="0" fontId="0" fillId="0" borderId="3" xfId="0" applyBorder="1"/>
    <xf numFmtId="0" fontId="0" fillId="0" borderId="4" xfId="0" applyBorder="1"/>
    <xf numFmtId="166" fontId="0" fillId="0" borderId="0" xfId="0" applyNumberFormat="1" applyBorder="1"/>
    <xf numFmtId="0" fontId="0" fillId="0" borderId="5" xfId="0" applyBorder="1"/>
    <xf numFmtId="0" fontId="0" fillId="0" borderId="6" xfId="0" applyBorder="1"/>
    <xf numFmtId="166" fontId="0" fillId="0" borderId="7" xfId="0" applyNumberFormat="1" applyBorder="1"/>
    <xf numFmtId="0" fontId="0" fillId="0" borderId="8" xfId="0" applyBorder="1"/>
    <xf numFmtId="0" fontId="0" fillId="0" borderId="0" xfId="0" applyNumberFormat="1"/>
    <xf numFmtId="17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7CB5-33A5-4A70-928D-6EAD5B808791}">
  <dimension ref="A1:D33"/>
  <sheetViews>
    <sheetView tabSelected="1" topLeftCell="A12" workbookViewId="0">
      <selection activeCell="D25" sqref="D25"/>
    </sheetView>
  </sheetViews>
  <sheetFormatPr baseColWidth="10" defaultRowHeight="15" x14ac:dyDescent="0.25"/>
  <cols>
    <col min="1" max="1" width="30.42578125" bestFit="1" customWidth="1"/>
    <col min="2" max="2" width="13.5703125" style="1" bestFit="1" customWidth="1"/>
    <col min="3" max="3" width="14.140625" bestFit="1" customWidth="1"/>
    <col min="4" max="4" width="57.5703125" customWidth="1"/>
  </cols>
  <sheetData>
    <row r="1" spans="1:3" ht="15.75" thickBot="1" x14ac:dyDescent="0.3">
      <c r="A1" s="2" t="s">
        <v>2</v>
      </c>
      <c r="B1" s="3"/>
      <c r="C1" s="4"/>
    </row>
    <row r="2" spans="1:3" x14ac:dyDescent="0.25">
      <c r="A2" s="5" t="s">
        <v>0</v>
      </c>
      <c r="B2" s="6">
        <v>800000</v>
      </c>
      <c r="C2" s="7"/>
    </row>
    <row r="3" spans="1:3" x14ac:dyDescent="0.25">
      <c r="A3" s="5" t="s">
        <v>1</v>
      </c>
      <c r="B3" s="6">
        <v>500000</v>
      </c>
      <c r="C3" s="7"/>
    </row>
    <row r="4" spans="1:3" x14ac:dyDescent="0.25">
      <c r="A4" s="5"/>
      <c r="B4" s="6"/>
      <c r="C4" s="7"/>
    </row>
    <row r="5" spans="1:3" x14ac:dyDescent="0.25">
      <c r="A5" s="5" t="s">
        <v>3</v>
      </c>
      <c r="B5" s="6">
        <f>+B2/B3</f>
        <v>1.6</v>
      </c>
      <c r="C5" s="7"/>
    </row>
    <row r="6" spans="1:3" x14ac:dyDescent="0.25">
      <c r="A6" s="5"/>
      <c r="B6" s="6"/>
      <c r="C6" s="7"/>
    </row>
    <row r="7" spans="1:3" x14ac:dyDescent="0.25">
      <c r="A7" s="5" t="s">
        <v>4</v>
      </c>
      <c r="B7" s="6">
        <v>100000</v>
      </c>
      <c r="C7" s="7" t="s">
        <v>11</v>
      </c>
    </row>
    <row r="8" spans="1:3" x14ac:dyDescent="0.25">
      <c r="A8" s="5" t="s">
        <v>5</v>
      </c>
      <c r="B8" s="6">
        <v>100000</v>
      </c>
      <c r="C8" s="7" t="s">
        <v>12</v>
      </c>
    </row>
    <row r="9" spans="1:3" x14ac:dyDescent="0.25">
      <c r="A9" s="5" t="s">
        <v>6</v>
      </c>
      <c r="B9" s="6">
        <v>200000</v>
      </c>
      <c r="C9" s="7" t="s">
        <v>13</v>
      </c>
    </row>
    <row r="10" spans="1:3" x14ac:dyDescent="0.25">
      <c r="A10" s="5" t="s">
        <v>7</v>
      </c>
      <c r="B10" s="6">
        <v>40000</v>
      </c>
      <c r="C10" s="7" t="s">
        <v>11</v>
      </c>
    </row>
    <row r="11" spans="1:3" x14ac:dyDescent="0.25">
      <c r="A11" s="5"/>
      <c r="B11" s="6"/>
      <c r="C11" s="7"/>
    </row>
    <row r="12" spans="1:3" x14ac:dyDescent="0.25">
      <c r="A12" s="5" t="s">
        <v>8</v>
      </c>
      <c r="B12" s="6">
        <f>+B2-B7+B8</f>
        <v>800000</v>
      </c>
      <c r="C12" s="7"/>
    </row>
    <row r="13" spans="1:3" x14ac:dyDescent="0.25">
      <c r="A13" s="5" t="s">
        <v>9</v>
      </c>
      <c r="B13" s="6">
        <f>+B3+B8+B10</f>
        <v>640000</v>
      </c>
      <c r="C13" s="7"/>
    </row>
    <row r="14" spans="1:3" x14ac:dyDescent="0.25">
      <c r="A14" s="5"/>
      <c r="B14" s="6"/>
      <c r="C14" s="7"/>
    </row>
    <row r="15" spans="1:3" ht="15.75" thickBot="1" x14ac:dyDescent="0.3">
      <c r="A15" s="8" t="s">
        <v>10</v>
      </c>
      <c r="B15" s="9">
        <f>+B12/B13</f>
        <v>1.25</v>
      </c>
      <c r="C15" s="10"/>
    </row>
    <row r="19" spans="1:4" x14ac:dyDescent="0.25">
      <c r="A19" t="s">
        <v>14</v>
      </c>
      <c r="B19" s="1">
        <v>3200</v>
      </c>
    </row>
    <row r="20" spans="1:4" x14ac:dyDescent="0.25">
      <c r="A20" t="s">
        <v>15</v>
      </c>
      <c r="B20" s="1">
        <v>1000</v>
      </c>
    </row>
    <row r="21" spans="1:4" x14ac:dyDescent="0.25">
      <c r="A21" t="s">
        <v>16</v>
      </c>
      <c r="B21" s="1">
        <v>800</v>
      </c>
    </row>
    <row r="22" spans="1:4" x14ac:dyDescent="0.25">
      <c r="A22" t="s">
        <v>17</v>
      </c>
      <c r="B22" s="1">
        <v>1200</v>
      </c>
    </row>
    <row r="23" spans="1:4" x14ac:dyDescent="0.25">
      <c r="A23" t="s">
        <v>18</v>
      </c>
      <c r="B23" s="1">
        <v>900</v>
      </c>
    </row>
    <row r="25" spans="1:4" x14ac:dyDescent="0.25">
      <c r="A25" t="s">
        <v>19</v>
      </c>
      <c r="B25" s="1">
        <f>+B19+B20+B21</f>
        <v>5000</v>
      </c>
    </row>
    <row r="26" spans="1:4" x14ac:dyDescent="0.25">
      <c r="A26" t="s">
        <v>1</v>
      </c>
      <c r="B26" s="1">
        <f>+B22+B23</f>
        <v>2100</v>
      </c>
    </row>
    <row r="28" spans="1:4" x14ac:dyDescent="0.25">
      <c r="A28" t="s">
        <v>3</v>
      </c>
      <c r="B28" s="12">
        <f>+B25/B26</f>
        <v>2.3809523809523809</v>
      </c>
    </row>
    <row r="29" spans="1:4" x14ac:dyDescent="0.25">
      <c r="B29" s="12"/>
    </row>
    <row r="30" spans="1:4" x14ac:dyDescent="0.25">
      <c r="A30" t="s">
        <v>20</v>
      </c>
      <c r="B30" s="12">
        <v>1.8</v>
      </c>
    </row>
    <row r="31" spans="1:4" x14ac:dyDescent="0.25">
      <c r="B31" s="12"/>
    </row>
    <row r="32" spans="1:4" ht="75" x14ac:dyDescent="0.25">
      <c r="A32" t="s">
        <v>21</v>
      </c>
      <c r="B32" s="12">
        <f>+B28-B30</f>
        <v>0.58095238095238089</v>
      </c>
      <c r="D32" s="13" t="s">
        <v>22</v>
      </c>
    </row>
    <row r="33" spans="2:2" x14ac:dyDescent="0.25">
      <c r="B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Guia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Vasquez Menjivar</dc:creator>
  <cp:lastModifiedBy>Luis Enrique Vasquez Menjivar</cp:lastModifiedBy>
  <dcterms:created xsi:type="dcterms:W3CDTF">2026-09-30T17:24:39Z</dcterms:created>
  <dcterms:modified xsi:type="dcterms:W3CDTF">2026-09-30T19:51:06Z</dcterms:modified>
</cp:coreProperties>
</file>