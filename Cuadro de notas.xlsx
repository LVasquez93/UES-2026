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Vasquez\Desktop\UES-2025\Ciclo 2 -2025\"/>
    </mc:Choice>
  </mc:AlternateContent>
  <xr:revisionPtr revIDLastSave="0" documentId="13_ncr:1_{57874DCC-52C5-46C8-BD2E-017DFC644918}" xr6:coauthVersionLast="47" xr6:coauthVersionMax="47" xr10:uidLastSave="{00000000-0000-0000-0000-000000000000}"/>
  <bookViews>
    <workbookView xWindow="-120" yWindow="-120" windowWidth="20640" windowHeight="11160" xr2:uid="{8B416A22-FD13-409B-B356-C908504C11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0" i="1" l="1"/>
  <c r="I21" i="1"/>
  <c r="I22" i="1"/>
  <c r="I23" i="1"/>
  <c r="I24" i="1"/>
  <c r="I25" i="1"/>
  <c r="I19" i="1"/>
  <c r="D20" i="1"/>
  <c r="D21" i="1"/>
  <c r="D22" i="1"/>
  <c r="D23" i="1"/>
  <c r="D24" i="1"/>
  <c r="D19" i="1"/>
  <c r="N5" i="1"/>
  <c r="N6" i="1"/>
  <c r="N7" i="1"/>
  <c r="N8" i="1"/>
  <c r="N4" i="1"/>
  <c r="I5" i="1"/>
  <c r="I6" i="1"/>
  <c r="I7" i="1"/>
  <c r="I8" i="1"/>
  <c r="I9" i="1"/>
  <c r="I10" i="1"/>
  <c r="I4" i="1"/>
  <c r="D5" i="1"/>
  <c r="D6" i="1"/>
  <c r="D7" i="1"/>
  <c r="D8" i="1"/>
  <c r="D9" i="1"/>
  <c r="D10" i="1"/>
  <c r="D11" i="1"/>
  <c r="D12" i="1"/>
  <c r="D4" i="1"/>
  <c r="N9" i="1" l="1"/>
  <c r="I26" i="1"/>
  <c r="D25" i="1"/>
  <c r="D13" i="1"/>
  <c r="I11" i="1"/>
</calcChain>
</file>

<file path=xl/sharedStrings.xml><?xml version="1.0" encoding="utf-8"?>
<sst xmlns="http://schemas.openxmlformats.org/spreadsheetml/2006/main" count="59" uniqueCount="42">
  <si>
    <t>Practica de Lab 1</t>
  </si>
  <si>
    <t>Metodos Probabilisticos</t>
  </si>
  <si>
    <t>Ingenieria Economica</t>
  </si>
  <si>
    <t>Tecnicas de Programacion para Internet</t>
  </si>
  <si>
    <t>Teoria de Sistemas</t>
  </si>
  <si>
    <t>Arquitectura de Computadoras</t>
  </si>
  <si>
    <t>Parcial 1</t>
  </si>
  <si>
    <t>Evaluacion</t>
  </si>
  <si>
    <t>Nota</t>
  </si>
  <si>
    <t>Porcentaje</t>
  </si>
  <si>
    <t>Nota Final</t>
  </si>
  <si>
    <t>Trabajo de Investigación</t>
  </si>
  <si>
    <t>Parcial Teorico - Practico 1</t>
  </si>
  <si>
    <t>Desarrollo de Proyecto Avance 1</t>
  </si>
  <si>
    <t>Parcial Teorico - Practico 2</t>
  </si>
  <si>
    <t>Desarrollo de Proyecto Avance 2</t>
  </si>
  <si>
    <t>Practica de Lab 2</t>
  </si>
  <si>
    <t>Evaluaciones</t>
  </si>
  <si>
    <t>Nota final</t>
  </si>
  <si>
    <t>Actividad En linea 1 Asin</t>
  </si>
  <si>
    <t>Tarea de Investigacion 1 (con examen)</t>
  </si>
  <si>
    <t>Actividad En linea 2 Asin</t>
  </si>
  <si>
    <t>Tarea de aplicacion 1 (con examen)</t>
  </si>
  <si>
    <t>Actividad En linea 3 Asin</t>
  </si>
  <si>
    <t>Tarea de aplicacion 2 (con Examen)</t>
  </si>
  <si>
    <t>Parcial 2</t>
  </si>
  <si>
    <t>Parcial 3</t>
  </si>
  <si>
    <t xml:space="preserve">Nota </t>
  </si>
  <si>
    <t>Practica de Lab  1 Asin</t>
  </si>
  <si>
    <t>Evaluacion Practica 1</t>
  </si>
  <si>
    <t>Exposicion</t>
  </si>
  <si>
    <t>Evaluacion Practica 2 (presencial)</t>
  </si>
  <si>
    <t>Proyecto Investigacion</t>
  </si>
  <si>
    <t>Practica de Lab  2 Asin</t>
  </si>
  <si>
    <t>Evaluacion Practica 3</t>
  </si>
  <si>
    <t>Proyecto Etapa 1</t>
  </si>
  <si>
    <t>Practica Lab 1</t>
  </si>
  <si>
    <t>Proyecto Etapa 2</t>
  </si>
  <si>
    <t>Practica Lab 2 Asinc</t>
  </si>
  <si>
    <t>Parcial Teorico (Presencial)</t>
  </si>
  <si>
    <t>Caso de Estudio 1</t>
  </si>
  <si>
    <t>Caso de Estudio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</si>
</sst>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9" fontId="0" fillId="0" borderId="0" xfId="0" applyNumberFormat="1"/>
    <xf numFmtId="0" fontId="2" fillId="2" borderId="8" xfId="0" applyFont="1" applyFill="1" applyBorder="1"/>
    <xf numFmtId="0" fontId="3" fillId="0" borderId="0" xfId="0" applyFont="1"/>
    <xf numFmtId="0" fontId="3" fillId="0" borderId="9" xfId="0" applyFont="1" applyBorder="1"/>
    <xf numFmtId="9" fontId="3" fillId="0" borderId="10" xfId="1" applyFont="1" applyBorder="1"/>
    <xf numFmtId="0" fontId="3" fillId="0" borderId="10" xfId="0" applyFont="1" applyBorder="1"/>
    <xf numFmtId="0" fontId="3" fillId="0" borderId="11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9" xfId="0" applyFont="1" applyBorder="1"/>
    <xf numFmtId="9" fontId="6" fillId="0" borderId="10" xfId="1" applyFont="1" applyFill="1" applyBorder="1"/>
    <xf numFmtId="0" fontId="6" fillId="0" borderId="10" xfId="0" applyFont="1" applyBorder="1"/>
    <xf numFmtId="0" fontId="6" fillId="0" borderId="11" xfId="0" applyFont="1" applyBorder="1"/>
    <xf numFmtId="0" fontId="5" fillId="0" borderId="0" xfId="0" applyFont="1"/>
    <xf numFmtId="9" fontId="5" fillId="0" borderId="0" xfId="0" applyNumberFormat="1" applyFont="1"/>
    <xf numFmtId="0" fontId="8" fillId="0" borderId="1" xfId="0" applyFont="1" applyBorder="1"/>
    <xf numFmtId="0" fontId="9" fillId="0" borderId="1" xfId="0" applyFont="1" applyBorder="1"/>
    <xf numFmtId="9" fontId="9" fillId="0" borderId="1" xfId="1" applyFont="1" applyBorder="1" applyAlignment="1">
      <alignment horizontal="center"/>
    </xf>
    <xf numFmtId="0" fontId="10" fillId="0" borderId="1" xfId="0" applyFont="1" applyBorder="1"/>
    <xf numFmtId="9" fontId="10" fillId="0" borderId="1" xfId="1" applyFont="1" applyBorder="1" applyAlignment="1">
      <alignment horizontal="center"/>
    </xf>
    <xf numFmtId="164" fontId="11" fillId="0" borderId="0" xfId="1" applyNumberFormat="1" applyFont="1"/>
    <xf numFmtId="9" fontId="11" fillId="0" borderId="0" xfId="1" applyFont="1" applyFill="1"/>
    <xf numFmtId="0" fontId="2" fillId="2" borderId="1" xfId="0" applyFont="1" applyFill="1" applyBorder="1"/>
    <xf numFmtId="0" fontId="4" fillId="0" borderId="11" xfId="0" applyFont="1" applyBorder="1"/>
    <xf numFmtId="2" fontId="2" fillId="0" borderId="1" xfId="0" applyNumberFormat="1" applyFont="1" applyBorder="1"/>
    <xf numFmtId="0" fontId="4" fillId="0" borderId="1" xfId="0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0" fontId="6" fillId="7" borderId="8" xfId="0" applyFont="1" applyFill="1" applyBorder="1"/>
    <xf numFmtId="0" fontId="4" fillId="0" borderId="1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A0CD-7BCC-4D99-8D34-01F85165CA32}">
  <dimension ref="A1:N26"/>
  <sheetViews>
    <sheetView tabSelected="1" topLeftCell="B1" zoomScale="86" zoomScaleNormal="115" workbookViewId="0">
      <selection activeCell="E14" sqref="E14"/>
    </sheetView>
  </sheetViews>
  <sheetFormatPr baseColWidth="10" defaultRowHeight="15" x14ac:dyDescent="0.25"/>
  <cols>
    <col min="1" max="1" width="35.7109375" bestFit="1" customWidth="1"/>
    <col min="6" max="6" width="32.85546875" bestFit="1" customWidth="1"/>
    <col min="11" max="11" width="26.7109375" bestFit="1" customWidth="1"/>
  </cols>
  <sheetData>
    <row r="1" spans="1:14" ht="15.75" thickBot="1" x14ac:dyDescent="0.3"/>
    <row r="2" spans="1:14" ht="15.75" thickBot="1" x14ac:dyDescent="0.3">
      <c r="A2" s="37" t="s">
        <v>2</v>
      </c>
      <c r="B2" s="38"/>
      <c r="C2" s="38"/>
      <c r="D2" s="39"/>
      <c r="F2" s="40" t="s">
        <v>1</v>
      </c>
      <c r="G2" s="41"/>
      <c r="H2" s="41"/>
      <c r="I2" s="42"/>
      <c r="K2" s="43" t="s">
        <v>3</v>
      </c>
      <c r="L2" s="44"/>
      <c r="M2" s="44"/>
      <c r="N2" s="45"/>
    </row>
    <row r="3" spans="1:14" s="3" customFormat="1" ht="15.75" thickBot="1" x14ac:dyDescent="0.3">
      <c r="A3" s="10" t="s">
        <v>17</v>
      </c>
      <c r="B3" s="11" t="s">
        <v>9</v>
      </c>
      <c r="C3" s="12" t="s">
        <v>8</v>
      </c>
      <c r="D3" s="13" t="s">
        <v>18</v>
      </c>
      <c r="F3" s="4" t="s">
        <v>17</v>
      </c>
      <c r="G3" s="5" t="s">
        <v>9</v>
      </c>
      <c r="H3" s="6" t="s">
        <v>27</v>
      </c>
      <c r="I3" s="7" t="s">
        <v>10</v>
      </c>
      <c r="K3" s="4" t="s">
        <v>17</v>
      </c>
      <c r="L3" s="5" t="s">
        <v>9</v>
      </c>
      <c r="M3" s="6" t="s">
        <v>27</v>
      </c>
      <c r="N3" s="7" t="s">
        <v>10</v>
      </c>
    </row>
    <row r="4" spans="1:14" ht="16.5" thickBot="1" x14ac:dyDescent="0.3">
      <c r="A4" s="17" t="s">
        <v>19</v>
      </c>
      <c r="B4" s="18">
        <v>0.05</v>
      </c>
      <c r="C4" s="8">
        <v>10</v>
      </c>
      <c r="D4" s="24">
        <f>B4*C4</f>
        <v>0.5</v>
      </c>
      <c r="F4" s="17" t="s">
        <v>28</v>
      </c>
      <c r="G4" s="18">
        <v>0.1</v>
      </c>
      <c r="H4" s="8">
        <v>8.67</v>
      </c>
      <c r="I4" s="8">
        <f>G4*H4</f>
        <v>0.86699999999999999</v>
      </c>
      <c r="K4" s="17" t="s">
        <v>35</v>
      </c>
      <c r="L4" s="18">
        <v>0.2</v>
      </c>
      <c r="M4" s="25">
        <v>9.4499999999999993</v>
      </c>
      <c r="N4" s="8">
        <f>L4*M4</f>
        <v>1.89</v>
      </c>
    </row>
    <row r="5" spans="1:14" ht="16.5" thickBot="1" x14ac:dyDescent="0.3">
      <c r="A5" s="17" t="s">
        <v>20</v>
      </c>
      <c r="B5" s="18">
        <v>0.1</v>
      </c>
      <c r="C5" s="8">
        <v>6.5</v>
      </c>
      <c r="D5" s="24">
        <f t="shared" ref="D5:D12" si="0">B5*C5</f>
        <v>0.65</v>
      </c>
      <c r="F5" s="17" t="s">
        <v>29</v>
      </c>
      <c r="G5" s="18">
        <v>0.2</v>
      </c>
      <c r="H5" s="8">
        <v>7.5</v>
      </c>
      <c r="I5" s="8">
        <f t="shared" ref="I5:I10" si="1">G5*H5</f>
        <v>1.5</v>
      </c>
      <c r="K5" s="19" t="s">
        <v>36</v>
      </c>
      <c r="L5" s="20">
        <v>0.2</v>
      </c>
      <c r="M5" s="25">
        <v>8</v>
      </c>
      <c r="N5" s="8">
        <f t="shared" ref="N5:N8" si="2">L5*M5</f>
        <v>1.6</v>
      </c>
    </row>
    <row r="6" spans="1:14" ht="16.5" thickBot="1" x14ac:dyDescent="0.3">
      <c r="A6" s="17" t="s">
        <v>6</v>
      </c>
      <c r="B6" s="18">
        <v>0.2</v>
      </c>
      <c r="C6" s="8">
        <v>8.8000000000000007</v>
      </c>
      <c r="D6" s="24">
        <f t="shared" si="0"/>
        <v>1.7600000000000002</v>
      </c>
      <c r="F6" s="19" t="s">
        <v>30</v>
      </c>
      <c r="G6" s="20">
        <v>0.1</v>
      </c>
      <c r="H6" s="8">
        <v>7.5</v>
      </c>
      <c r="I6" s="8">
        <f t="shared" si="1"/>
        <v>0.75</v>
      </c>
      <c r="K6" s="19" t="s">
        <v>37</v>
      </c>
      <c r="L6" s="20">
        <v>0.2</v>
      </c>
      <c r="M6" s="25"/>
      <c r="N6" s="8">
        <f t="shared" si="2"/>
        <v>0</v>
      </c>
    </row>
    <row r="7" spans="1:14" ht="16.5" thickBot="1" x14ac:dyDescent="0.3">
      <c r="A7" s="19" t="s">
        <v>21</v>
      </c>
      <c r="B7" s="20">
        <v>0.05</v>
      </c>
      <c r="C7" s="8">
        <v>8.8000000000000007</v>
      </c>
      <c r="D7" s="24">
        <f t="shared" si="0"/>
        <v>0.44000000000000006</v>
      </c>
      <c r="F7" s="19" t="s">
        <v>31</v>
      </c>
      <c r="G7" s="20">
        <v>0.2</v>
      </c>
      <c r="H7" s="8">
        <v>7.5</v>
      </c>
      <c r="I7" s="8">
        <f t="shared" si="1"/>
        <v>1.5</v>
      </c>
      <c r="K7" s="19" t="s">
        <v>38</v>
      </c>
      <c r="L7" s="20">
        <v>0.2</v>
      </c>
      <c r="M7" s="25">
        <v>8.8000000000000007</v>
      </c>
      <c r="N7" s="8">
        <f t="shared" si="2"/>
        <v>1.7600000000000002</v>
      </c>
    </row>
    <row r="8" spans="1:14" ht="16.5" thickBot="1" x14ac:dyDescent="0.3">
      <c r="A8" s="19" t="s">
        <v>22</v>
      </c>
      <c r="B8" s="28">
        <v>7.4999999999999997E-2</v>
      </c>
      <c r="C8" s="8">
        <v>6.8</v>
      </c>
      <c r="D8" s="24">
        <f t="shared" si="0"/>
        <v>0.51</v>
      </c>
      <c r="F8" s="19" t="s">
        <v>32</v>
      </c>
      <c r="G8" s="20">
        <v>0.1</v>
      </c>
      <c r="H8" s="26">
        <v>0</v>
      </c>
      <c r="I8" s="8">
        <f t="shared" si="1"/>
        <v>0</v>
      </c>
      <c r="K8" s="19" t="s">
        <v>39</v>
      </c>
      <c r="L8" s="20">
        <v>0.2</v>
      </c>
      <c r="M8" s="25">
        <v>7.88</v>
      </c>
      <c r="N8" s="8">
        <f t="shared" si="2"/>
        <v>1.5760000000000001</v>
      </c>
    </row>
    <row r="9" spans="1:14" ht="19.5" thickBot="1" x14ac:dyDescent="0.35">
      <c r="A9" s="19" t="s">
        <v>23</v>
      </c>
      <c r="B9" s="20">
        <v>0.05</v>
      </c>
      <c r="C9" s="8"/>
      <c r="D9" s="24">
        <f t="shared" si="0"/>
        <v>0</v>
      </c>
      <c r="F9" s="19" t="s">
        <v>33</v>
      </c>
      <c r="G9" s="20">
        <v>0.1</v>
      </c>
      <c r="H9" s="26">
        <v>8.5</v>
      </c>
      <c r="I9" s="8">
        <f t="shared" si="1"/>
        <v>0.85000000000000009</v>
      </c>
      <c r="K9" s="14"/>
      <c r="L9" s="22"/>
      <c r="M9" s="14"/>
      <c r="N9" s="29">
        <f>SUM(N4:N8)</f>
        <v>6.8260000000000005</v>
      </c>
    </row>
    <row r="10" spans="1:14" ht="16.5" thickBot="1" x14ac:dyDescent="0.3">
      <c r="A10" s="16" t="s">
        <v>24</v>
      </c>
      <c r="B10" s="27">
        <v>7.4999999999999997E-2</v>
      </c>
      <c r="C10" s="9"/>
      <c r="D10" s="13">
        <f t="shared" si="0"/>
        <v>0</v>
      </c>
      <c r="F10" s="19" t="s">
        <v>34</v>
      </c>
      <c r="G10" s="20">
        <v>0.2</v>
      </c>
      <c r="H10" s="26">
        <v>6.5</v>
      </c>
      <c r="I10" s="8">
        <f t="shared" si="1"/>
        <v>1.3</v>
      </c>
    </row>
    <row r="11" spans="1:14" ht="19.5" thickBot="1" x14ac:dyDescent="0.35">
      <c r="A11" s="19" t="s">
        <v>25</v>
      </c>
      <c r="B11" s="20">
        <v>0.2</v>
      </c>
      <c r="C11" s="8">
        <v>7.3</v>
      </c>
      <c r="D11" s="24">
        <f t="shared" si="0"/>
        <v>1.46</v>
      </c>
      <c r="G11" s="21"/>
      <c r="I11" s="29">
        <f>SUM(I4:I10)</f>
        <v>6.7670000000000003</v>
      </c>
    </row>
    <row r="12" spans="1:14" ht="15.75" x14ac:dyDescent="0.25">
      <c r="A12" s="19" t="s">
        <v>26</v>
      </c>
      <c r="B12" s="20">
        <v>0.2</v>
      </c>
      <c r="C12" s="8"/>
      <c r="D12" s="24">
        <f t="shared" si="0"/>
        <v>0</v>
      </c>
    </row>
    <row r="13" spans="1:14" ht="18.75" x14ac:dyDescent="0.3">
      <c r="B13" s="21"/>
      <c r="C13" s="1"/>
      <c r="D13" s="23">
        <f>SUM(D4:D12)</f>
        <v>5.32</v>
      </c>
    </row>
    <row r="14" spans="1:14" x14ac:dyDescent="0.25">
      <c r="B14" s="1"/>
      <c r="C14" s="1"/>
    </row>
    <row r="15" spans="1:14" x14ac:dyDescent="0.25">
      <c r="B15" s="1"/>
      <c r="C15" s="1"/>
    </row>
    <row r="16" spans="1:14" ht="15.75" thickBot="1" x14ac:dyDescent="0.3">
      <c r="B16" s="1"/>
      <c r="C16" s="1"/>
      <c r="K16" s="3"/>
      <c r="L16" s="3"/>
      <c r="M16" s="3"/>
      <c r="N16" s="3"/>
    </row>
    <row r="17" spans="1:14" ht="15.75" thickBot="1" x14ac:dyDescent="0.3">
      <c r="A17" s="31" t="s">
        <v>4</v>
      </c>
      <c r="B17" s="32"/>
      <c r="C17" s="32"/>
      <c r="D17" s="33"/>
      <c r="F17" s="34" t="s">
        <v>5</v>
      </c>
      <c r="G17" s="35"/>
      <c r="H17" s="35"/>
      <c r="I17" s="36"/>
    </row>
    <row r="18" spans="1:14" x14ac:dyDescent="0.25">
      <c r="A18" s="4" t="s">
        <v>17</v>
      </c>
      <c r="B18" s="5" t="s">
        <v>9</v>
      </c>
      <c r="C18" s="6" t="s">
        <v>27</v>
      </c>
      <c r="D18" s="7" t="s">
        <v>10</v>
      </c>
      <c r="F18" s="4" t="s">
        <v>7</v>
      </c>
      <c r="G18" s="5" t="s">
        <v>9</v>
      </c>
      <c r="H18" s="6" t="s">
        <v>9</v>
      </c>
      <c r="I18" s="7" t="s">
        <v>10</v>
      </c>
    </row>
    <row r="19" spans="1:14" ht="15.75" x14ac:dyDescent="0.25">
      <c r="A19" s="19" t="s">
        <v>35</v>
      </c>
      <c r="B19" s="20">
        <v>0.2</v>
      </c>
      <c r="C19" s="8">
        <v>8.8000000000000007</v>
      </c>
      <c r="D19" s="8">
        <f>B19*C19</f>
        <v>1.7600000000000002</v>
      </c>
      <c r="F19" s="17" t="s">
        <v>11</v>
      </c>
      <c r="G19" s="18">
        <v>0.1</v>
      </c>
      <c r="H19" s="8">
        <v>8.33</v>
      </c>
      <c r="I19" s="8">
        <f>G19*H19</f>
        <v>0.83300000000000007</v>
      </c>
    </row>
    <row r="20" spans="1:14" ht="15.75" x14ac:dyDescent="0.25">
      <c r="A20" s="17" t="s">
        <v>40</v>
      </c>
      <c r="B20" s="18">
        <v>0.1</v>
      </c>
      <c r="C20" s="8">
        <v>8.1</v>
      </c>
      <c r="D20" s="8">
        <f t="shared" ref="D20:D24" si="3">B20*C20</f>
        <v>0.81</v>
      </c>
      <c r="F20" s="17" t="s">
        <v>0</v>
      </c>
      <c r="G20" s="18">
        <v>0.1</v>
      </c>
      <c r="H20" s="8">
        <v>9</v>
      </c>
      <c r="I20" s="8">
        <f t="shared" ref="I20:I25" si="4">G20*H20</f>
        <v>0.9</v>
      </c>
    </row>
    <row r="21" spans="1:14" s="3" customFormat="1" ht="15.75" x14ac:dyDescent="0.25">
      <c r="A21" s="19" t="s">
        <v>6</v>
      </c>
      <c r="B21" s="20">
        <v>0.2</v>
      </c>
      <c r="C21" s="25">
        <v>6.9669999999999996</v>
      </c>
      <c r="D21" s="8">
        <f t="shared" si="3"/>
        <v>1.3934</v>
      </c>
      <c r="F21" s="19" t="s">
        <v>12</v>
      </c>
      <c r="G21" s="20">
        <v>0.1</v>
      </c>
      <c r="H21" s="8">
        <v>8.94</v>
      </c>
      <c r="I21" s="8">
        <f t="shared" si="4"/>
        <v>0.89400000000000002</v>
      </c>
      <c r="K21"/>
      <c r="L21"/>
      <c r="M21"/>
      <c r="N21"/>
    </row>
    <row r="22" spans="1:14" ht="15.75" x14ac:dyDescent="0.25">
      <c r="A22" s="19" t="s">
        <v>37</v>
      </c>
      <c r="B22" s="20">
        <v>0.2</v>
      </c>
      <c r="C22" s="30"/>
      <c r="D22" s="8">
        <f t="shared" si="3"/>
        <v>0</v>
      </c>
      <c r="F22" s="19" t="s">
        <v>13</v>
      </c>
      <c r="G22" s="20">
        <v>0.2</v>
      </c>
      <c r="H22" s="8">
        <v>8.36</v>
      </c>
      <c r="I22" s="8">
        <f t="shared" si="4"/>
        <v>1.6719999999999999</v>
      </c>
    </row>
    <row r="23" spans="1:14" ht="15.75" x14ac:dyDescent="0.25">
      <c r="A23" s="19" t="s">
        <v>41</v>
      </c>
      <c r="B23" s="20">
        <v>0.1</v>
      </c>
      <c r="C23" s="8">
        <v>7.9</v>
      </c>
      <c r="D23" s="8">
        <f t="shared" si="3"/>
        <v>0.79</v>
      </c>
      <c r="F23" s="19" t="s">
        <v>14</v>
      </c>
      <c r="G23" s="20">
        <v>0.15</v>
      </c>
      <c r="H23" s="26">
        <v>8.4600000000000009</v>
      </c>
      <c r="I23" s="8">
        <f t="shared" si="4"/>
        <v>1.2690000000000001</v>
      </c>
    </row>
    <row r="24" spans="1:14" ht="15.75" x14ac:dyDescent="0.25">
      <c r="A24" s="19" t="s">
        <v>25</v>
      </c>
      <c r="B24" s="20">
        <v>0.2</v>
      </c>
      <c r="C24" s="30"/>
      <c r="D24" s="8">
        <f t="shared" si="3"/>
        <v>0</v>
      </c>
      <c r="F24" s="19" t="s">
        <v>15</v>
      </c>
      <c r="G24" s="20">
        <v>0.2</v>
      </c>
      <c r="H24" s="26"/>
      <c r="I24" s="8">
        <f t="shared" si="4"/>
        <v>0</v>
      </c>
    </row>
    <row r="25" spans="1:14" ht="19.5" thickBot="1" x14ac:dyDescent="0.35">
      <c r="A25" s="14"/>
      <c r="B25" s="21"/>
      <c r="C25" s="15"/>
      <c r="D25" s="2">
        <f>SUM(D19:D24)</f>
        <v>4.7534000000000001</v>
      </c>
      <c r="F25" s="19" t="s">
        <v>16</v>
      </c>
      <c r="G25" s="20">
        <v>0.15</v>
      </c>
      <c r="H25" s="26">
        <v>8</v>
      </c>
      <c r="I25" s="8">
        <f t="shared" si="4"/>
        <v>1.2</v>
      </c>
    </row>
    <row r="26" spans="1:14" ht="19.5" thickBot="1" x14ac:dyDescent="0.35">
      <c r="G26" s="21"/>
      <c r="H26" s="1"/>
      <c r="I26" s="29">
        <f>SUM(I19:I25)</f>
        <v>6.7680000000000007</v>
      </c>
    </row>
  </sheetData>
  <mergeCells count="5">
    <mergeCell ref="A17:D17"/>
    <mergeCell ref="F17:I17"/>
    <mergeCell ref="A2:D2"/>
    <mergeCell ref="F2:I2"/>
    <mergeCell ref="K2: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SoporteSV</dc:creator>
  <cp:lastModifiedBy>Luis Vasquez</cp:lastModifiedBy>
  <dcterms:created xsi:type="dcterms:W3CDTF">2023-08-29T20:33:10Z</dcterms:created>
  <dcterms:modified xsi:type="dcterms:W3CDTF">2025-11-18T12:23:15Z</dcterms:modified>
</cp:coreProperties>
</file>