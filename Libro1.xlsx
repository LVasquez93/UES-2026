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1D4FB98D-48EF-4D1C-845F-A610CAC800E9}" xr6:coauthVersionLast="47" xr6:coauthVersionMax="47" xr10:uidLastSave="{00000000-0000-0000-0000-000000000000}"/>
  <bookViews>
    <workbookView xWindow="-120" yWindow="-120" windowWidth="29040" windowHeight="15720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4" i="3" l="1"/>
  <c r="E14" i="3"/>
  <c r="H14" i="3"/>
  <c r="C14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<sst xmlns="http://schemas.openxmlformats.org/spreadsheetml/2006/main" count="85" uniqueCount="62">
  <si>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</si>
  <si>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</si>
  <si>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</si>
  <si>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</si>
  <si>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</si>
  <si>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</si>
  <si>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</si>
  <si>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</si>
  <si>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</si>
  <si>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</si>
  <si>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</si>
  <si>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</si>
  <si>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</si>
  <si>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</si>
  <si>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</si>
  <si>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</si>
  <si>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</si>
  <si>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</si>
  <si>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</si>
  <si>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</si>
  <si>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</si>
  <si>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</si>
  <si>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</si>
  <si>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</si>
  <si>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</si>
  <si>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</si>
  <si>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</si>
  <si>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</si>
  <si>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</si>
  <si>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</si>
  <si>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</si>
  <si>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</si>
  <si>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</si>
  <si>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</si>
  <si>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</si>
  <si>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</si>
  <si>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</si>
  <si>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</si>
  <si>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</si>
  <si>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</si>
  <si>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</si>
  <si>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</si>
  <si>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</si>
  <si>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</si>
  <si>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</si>
  <si>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</si>
  <si>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</si>
  <si>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</si>
  <si>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</si>
  <si>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</si>
  <si>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</si>
  <si>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</si>
  <si>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</si>
  <si>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</si>
  <si>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</si>
  <si>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</si>
  <si>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</si>
  <si>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</si>
  <si>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</si>
  <si>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</si>
  <si>
    <t>x</t>
  </si>
  <si>
    <t>com 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</si>
</sst>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3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N37"/>
  <sheetViews>
    <sheetView zoomScale="121" workbookViewId="0">
      <selection activeCell="L13" sqref="L13:L16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</cols>
  <sheetData>
    <row r="1" spans="2:14" x14ac:dyDescent="0.25">
      <c r="B1" s="13" t="s">
        <v>14</v>
      </c>
      <c r="C1" s="13"/>
      <c r="D1" s="13">
        <v>15</v>
      </c>
      <c r="F1" s="13">
        <v>30</v>
      </c>
    </row>
    <row r="2" spans="2:14" x14ac:dyDescent="0.25">
      <c r="B2" s="9" t="s">
        <v>2</v>
      </c>
      <c r="C2" s="9" t="s">
        <v>20</v>
      </c>
      <c r="D2" s="8">
        <v>60</v>
      </c>
      <c r="F2" s="8">
        <v>60</v>
      </c>
    </row>
    <row r="3" spans="2:14" x14ac:dyDescent="0.25">
      <c r="B3" s="9" t="s">
        <v>3</v>
      </c>
      <c r="C3" s="9" t="s">
        <v>41</v>
      </c>
      <c r="D3" s="8">
        <v>50</v>
      </c>
      <c r="F3" s="8">
        <v>50</v>
      </c>
    </row>
    <row r="4" spans="2:14" x14ac:dyDescent="0.25">
      <c r="B4" s="9" t="s">
        <v>4</v>
      </c>
      <c r="C4" s="9" t="s">
        <v>20</v>
      </c>
      <c r="D4" s="8">
        <v>10</v>
      </c>
      <c r="F4" s="8">
        <v>10</v>
      </c>
    </row>
    <row r="5" spans="2:14" x14ac:dyDescent="0.25">
      <c r="B5" s="9" t="s">
        <v>5</v>
      </c>
      <c r="C5" s="9" t="s">
        <v>20</v>
      </c>
      <c r="D5" s="8">
        <v>20</v>
      </c>
      <c r="F5" s="8">
        <v>20</v>
      </c>
    </row>
    <row r="6" spans="2:14" x14ac:dyDescent="0.25">
      <c r="B6" s="9" t="s">
        <v>6</v>
      </c>
      <c r="C6" s="9" t="s">
        <v>41</v>
      </c>
      <c r="D6" s="8">
        <v>60</v>
      </c>
      <c r="F6" s="8">
        <v>60</v>
      </c>
    </row>
    <row r="7" spans="2:14" x14ac:dyDescent="0.25">
      <c r="B7" s="9" t="s">
        <v>17</v>
      </c>
      <c r="C7" s="9" t="s">
        <v>44</v>
      </c>
      <c r="D7" s="8">
        <v>100</v>
      </c>
      <c r="E7" t="s">
        <v>60</v>
      </c>
      <c r="F7" s="8">
        <v>100</v>
      </c>
    </row>
    <row r="8" spans="2:14" x14ac:dyDescent="0.25">
      <c r="B8" t="s">
        <v>7</v>
      </c>
      <c r="C8" t="s">
        <v>44</v>
      </c>
      <c r="D8" s="58">
        <v>95</v>
      </c>
      <c r="E8" t="s">
        <v>60</v>
      </c>
    </row>
    <row r="9" spans="2:14" x14ac:dyDescent="0.25">
      <c r="B9" t="s">
        <v>18</v>
      </c>
      <c r="C9" t="s">
        <v>41</v>
      </c>
      <c r="F9">
        <v>10</v>
      </c>
    </row>
    <row r="10" spans="2:14" x14ac:dyDescent="0.25">
      <c r="B10" t="s">
        <v>16</v>
      </c>
      <c r="C10" t="s">
        <v>42</v>
      </c>
    </row>
    <row r="11" spans="2:14" x14ac:dyDescent="0.25">
      <c r="B11" t="s">
        <v>8</v>
      </c>
      <c r="C11" t="s">
        <v>43</v>
      </c>
      <c r="F11">
        <v>25</v>
      </c>
    </row>
    <row r="12" spans="2:14" x14ac:dyDescent="0.25">
      <c r="B12" t="s">
        <v>9</v>
      </c>
      <c r="C12" t="s">
        <v>43</v>
      </c>
      <c r="D12">
        <v>15</v>
      </c>
      <c r="E12" t="s">
        <v>60</v>
      </c>
      <c r="F12">
        <v>5</v>
      </c>
      <c r="H12">
        <v>8286917</v>
      </c>
    </row>
    <row r="13" spans="2:14" x14ac:dyDescent="0.25">
      <c r="B13" t="s">
        <v>10</v>
      </c>
      <c r="C13" t="s">
        <v>42</v>
      </c>
      <c r="L13">
        <v>95</v>
      </c>
      <c r="N13">
        <v>200</v>
      </c>
    </row>
    <row r="14" spans="2:14" x14ac:dyDescent="0.25">
      <c r="B14" t="s">
        <v>15</v>
      </c>
      <c r="C14" t="s">
        <v>43</v>
      </c>
      <c r="L14">
        <v>-20</v>
      </c>
      <c r="N14">
        <v>-95</v>
      </c>
    </row>
    <row r="15" spans="2:14" x14ac:dyDescent="0.25">
      <c r="B15" t="s">
        <v>59</v>
      </c>
      <c r="C15" t="s">
        <v>42</v>
      </c>
      <c r="D15">
        <v>48</v>
      </c>
      <c r="E15" t="s">
        <v>60</v>
      </c>
      <c r="L15">
        <v>50</v>
      </c>
    </row>
    <row r="16" spans="2:14" x14ac:dyDescent="0.25">
      <c r="L16">
        <v>75</v>
      </c>
    </row>
    <row r="17" spans="2:6" x14ac:dyDescent="0.25">
      <c r="B17" s="7" t="s">
        <v>11</v>
      </c>
      <c r="C17" s="7"/>
      <c r="D17" s="7">
        <f>SUM(D2:D16)</f>
        <v>458</v>
      </c>
      <c r="F17" s="7">
        <f>SUM(F2:F16)</f>
        <v>340</v>
      </c>
    </row>
    <row r="18" spans="2:6" x14ac:dyDescent="0.25">
      <c r="B18" s="6" t="s">
        <v>12</v>
      </c>
      <c r="C18" s="6"/>
      <c r="D18" s="6">
        <f>250+250</f>
        <v>500</v>
      </c>
      <c r="F18" s="6">
        <v>448</v>
      </c>
    </row>
    <row r="19" spans="2:6" x14ac:dyDescent="0.25">
      <c r="B19" s="5" t="s">
        <v>13</v>
      </c>
      <c r="C19" s="5"/>
      <c r="D19" s="5">
        <f>D18-D17</f>
        <v>42</v>
      </c>
      <c r="F19" s="5">
        <f>F18-F17</f>
        <v>108</v>
      </c>
    </row>
    <row r="20" spans="2:6" x14ac:dyDescent="0.25">
      <c r="D20" t="s">
        <v>48</v>
      </c>
    </row>
    <row r="37" ht="30.75" customHeight="1" x14ac:dyDescent="0.25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zoomScale="129" workbookViewId="0">
      <selection activeCell="J6" sqref="J6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1" bestFit="1" customWidth="1"/>
  </cols>
  <sheetData>
    <row r="1" spans="1:14" ht="15.75" thickBot="1" x14ac:dyDescent="0.3"/>
    <row r="2" spans="1:14" ht="45.75" thickBot="1" x14ac:dyDescent="0.3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52" customFormat="1" x14ac:dyDescent="0.25">
      <c r="A3" s="52" t="s">
        <v>40</v>
      </c>
      <c r="B3" s="52" t="s">
        <v>31</v>
      </c>
      <c r="C3" s="33">
        <v>2100</v>
      </c>
      <c r="D3" s="53">
        <v>45815</v>
      </c>
      <c r="E3" s="44"/>
      <c r="F3" s="44"/>
      <c r="G3" s="33"/>
      <c r="H3" s="44">
        <v>51.16</v>
      </c>
      <c r="I3" s="53">
        <v>46204</v>
      </c>
      <c r="J3" s="44"/>
      <c r="K3" s="54"/>
    </row>
    <row r="4" spans="1:14" s="34" customFormat="1" x14ac:dyDescent="0.25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25">
      <c r="A5" t="s">
        <v>56</v>
      </c>
      <c r="B5" t="s">
        <v>25</v>
      </c>
      <c r="C5" s="3">
        <v>2000</v>
      </c>
      <c r="D5" s="20">
        <v>45817</v>
      </c>
      <c r="H5" s="12">
        <v>280</v>
      </c>
      <c r="I5" s="20">
        <v>46207</v>
      </c>
      <c r="J5" s="12">
        <v>155</v>
      </c>
      <c r="K5" s="31">
        <v>0.27900000000000003</v>
      </c>
      <c r="N5" s="4"/>
    </row>
    <row r="6" spans="1:14" s="30" customFormat="1" x14ac:dyDescent="0.25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12">
        <v>141</v>
      </c>
      <c r="I6" s="20">
        <v>46209</v>
      </c>
      <c r="J6" s="12"/>
      <c r="K6" s="31"/>
    </row>
    <row r="7" spans="1:14" x14ac:dyDescent="0.25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25">
      <c r="A8" s="34" t="s">
        <v>39</v>
      </c>
      <c r="B8" s="34" t="s">
        <v>30</v>
      </c>
      <c r="C8" s="35">
        <v>1600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25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25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25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25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25">
      <c r="A13" s="39" t="s">
        <v>58</v>
      </c>
      <c r="B13" s="39" t="s">
        <v>57</v>
      </c>
      <c r="D13" s="41">
        <v>45798</v>
      </c>
      <c r="E13" s="12">
        <v>46.7</v>
      </c>
      <c r="F13" s="12">
        <v>46.32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SUM(SUBTOTAL(109,E3:E13)+F13)</f>
        <v>93.02000000000001</v>
      </c>
      <c r="F14" s="21"/>
      <c r="G14" s="21">
        <f>SUM(G3:G13)</f>
        <v>0</v>
      </c>
      <c r="H14" s="21">
        <f>SUBTOTAL(109,H3:H13)</f>
        <v>472.15999999999997</v>
      </c>
      <c r="I14" s="21"/>
      <c r="J14" s="21">
        <f>SUBTOTAL(109,J3:J13)</f>
        <v>155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0" ht="15.75" thickBot="1" x14ac:dyDescent="0.3">
      <c r="A17" s="1" t="s">
        <v>34</v>
      </c>
      <c r="B17" s="9" t="s">
        <v>36</v>
      </c>
      <c r="C17" s="24"/>
      <c r="D17" s="24" t="s">
        <v>61</v>
      </c>
      <c r="E17" s="24">
        <v>46203</v>
      </c>
      <c r="F17" s="24"/>
      <c r="G17" s="24"/>
      <c r="H17" s="24"/>
      <c r="I17" s="24"/>
    </row>
    <row r="18" spans="1:10" ht="15.75" thickBot="1" x14ac:dyDescent="0.3">
      <c r="A18" s="1" t="s">
        <v>35</v>
      </c>
      <c r="B18" s="57">
        <v>305</v>
      </c>
      <c r="C18" s="2"/>
      <c r="D18" s="2">
        <v>25</v>
      </c>
      <c r="E18" s="60">
        <v>105</v>
      </c>
      <c r="F18" s="2"/>
      <c r="G18" s="2"/>
      <c r="H18" s="2"/>
      <c r="I18" s="22"/>
      <c r="J18" s="23">
        <f>SUM(B18:I18)</f>
        <v>435</v>
      </c>
    </row>
    <row r="19" spans="1:10" ht="15.75" thickBot="1" x14ac:dyDescent="0.3">
      <c r="C19" s="11"/>
      <c r="D19" s="11"/>
      <c r="E19" s="55"/>
      <c r="F19" s="55"/>
      <c r="G19" s="2"/>
      <c r="H19" s="2"/>
      <c r="I19" s="20"/>
    </row>
    <row r="20" spans="1:10" ht="15.75" thickBot="1" x14ac:dyDescent="0.3">
      <c r="D20" s="12"/>
      <c r="H20" s="56" t="s">
        <v>37</v>
      </c>
      <c r="I20" s="25">
        <f>+H14+J14+G14</f>
        <v>627.16</v>
      </c>
    </row>
    <row r="21" spans="1:10" ht="15.75" thickBot="1" x14ac:dyDescent="0.3">
      <c r="D21" s="12"/>
      <c r="H21" s="26" t="s">
        <v>38</v>
      </c>
      <c r="I21" s="25">
        <f>+J18-H14-G14</f>
        <v>-37.159999999999968</v>
      </c>
    </row>
    <row r="22" spans="1:10" ht="15.75" thickBot="1" x14ac:dyDescent="0.3">
      <c r="D22" s="20"/>
      <c r="H22" s="27" t="s">
        <v>54</v>
      </c>
      <c r="I22" s="25">
        <f>+I21-J14</f>
        <v>-192.15999999999997</v>
      </c>
    </row>
    <row r="23" spans="1:10" x14ac:dyDescent="0.25">
      <c r="D23" s="12"/>
      <c r="I23" s="20"/>
    </row>
    <row r="24" spans="1:10" x14ac:dyDescent="0.25">
      <c r="D24" s="12"/>
      <c r="I24" s="20"/>
    </row>
    <row r="25" spans="1:10" x14ac:dyDescent="0.25">
      <c r="D25" s="12"/>
      <c r="I25" s="20"/>
    </row>
    <row r="26" spans="1:10" x14ac:dyDescent="0.25">
      <c r="D26" s="12"/>
      <c r="I26" s="20"/>
    </row>
    <row r="27" spans="1:10" x14ac:dyDescent="0.25">
      <c r="D27" s="12"/>
      <c r="I27" s="20"/>
    </row>
    <row r="28" spans="1:10" x14ac:dyDescent="0.25">
      <c r="D28" s="3"/>
      <c r="I28" s="20"/>
    </row>
    <row r="29" spans="1:10" x14ac:dyDescent="0.25">
      <c r="D29" s="3"/>
      <c r="I29" s="20"/>
    </row>
    <row r="30" spans="1:10" x14ac:dyDescent="0.25">
      <c r="D30" s="3"/>
      <c r="I30" s="20"/>
    </row>
    <row r="31" spans="1:10" x14ac:dyDescent="0.25">
      <c r="D31" s="3"/>
      <c r="I31" s="20"/>
    </row>
    <row r="32" spans="1:10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7 D43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048576">
    <cfRule type="timePeriod" dxfId="7" priority="40" timePeriod="nextMonth">
      <formula>AND(MONTH(I1)=MONTH(EDATE(TODAY(),0+1)),YEAR(I1)=YEAR(EDATE(TODAY(),0+1)))</formula>
    </cfRule>
    <cfRule type="timePeriod" dxfId="6" priority="41" timePeriod="thisMonth">
      <formula>AND(MONTH(I1)=MONTH(TODAY()),YEAR(I1)=YEAR(TODAY()))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topLeftCell="A34" workbookViewId="0">
      <selection activeCell="C14" sqref="C14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5" t="s">
        <v>49</v>
      </c>
      <c r="B1" s="48" t="s">
        <v>52</v>
      </c>
      <c r="C1" s="48" t="s">
        <v>53</v>
      </c>
    </row>
    <row r="2" spans="1:4" x14ac:dyDescent="0.25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7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7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7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7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7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7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25">
      <c r="A13" s="47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25">
      <c r="A14" s="47">
        <v>46203</v>
      </c>
      <c r="B14" s="11">
        <v>70</v>
      </c>
      <c r="C14" s="11"/>
      <c r="D14" t="b">
        <f t="shared" ca="1" si="0"/>
        <v>0</v>
      </c>
    </row>
    <row r="15" spans="1:4" x14ac:dyDescent="0.25">
      <c r="A15" s="47">
        <v>46218</v>
      </c>
      <c r="B15" s="11">
        <v>75</v>
      </c>
      <c r="C15" s="11"/>
      <c r="D15" t="b">
        <f t="shared" ca="1" si="0"/>
        <v>0</v>
      </c>
    </row>
    <row r="16" spans="1:4" x14ac:dyDescent="0.25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25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25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25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25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25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25">
      <c r="A53" s="46" t="s">
        <v>51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7">
        <v>46752</v>
      </c>
      <c r="B54" s="11">
        <v>70</v>
      </c>
      <c r="C54" s="49"/>
      <c r="D54" t="b">
        <f t="shared" ca="1" si="1"/>
        <v>0</v>
      </c>
    </row>
    <row r="55" spans="1:4" ht="15.75" thickBot="1" x14ac:dyDescent="0.3">
      <c r="B55" s="50">
        <f>SUM(B2:B54)</f>
        <v>4610</v>
      </c>
      <c r="C55" s="51">
        <f>SUM(C2:C54)</f>
        <v>550</v>
      </c>
    </row>
    <row r="56" spans="1:4" ht="15.75" thickBot="1" x14ac:dyDescent="0.3">
      <c r="B56" s="3"/>
      <c r="C56" s="3"/>
    </row>
    <row r="57" spans="1:4" ht="15.75" thickBot="1" x14ac:dyDescent="0.3">
      <c r="B57" s="61">
        <f ca="1">IFERROR(SUMIFS(C2:C54,A2:A54,"&lt;="&amp;TODAY()),0)-IFERROR(SUMIFS(B2:B54,A2:A54,"&lt;="&amp;TODAY()),0)</f>
        <v>-250</v>
      </c>
      <c r="C57" s="62"/>
    </row>
    <row r="58" spans="1:4" x14ac:dyDescent="0.25">
      <c r="B58" s="59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2026-06-16T18:29:04Z</dcterms:modified>
</cp:coreProperties>
</file>