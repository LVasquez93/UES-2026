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934104BB-04A5-4DD3-8251-F708FF598E29}" xr6:coauthVersionLast="47" xr6:coauthVersionMax="47" xr10:uidLastSave="{00000000-0000-0000-0000-000000000000}"/>
  <bookViews>
    <workbookView xWindow="-120" yWindow="-120" windowWidth="20640" windowHeight="1116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<sst xmlns="http://schemas.openxmlformats.org/spreadsheetml/2006/main" count="80" uniqueCount="60">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</sst>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abSelected="1" topLeftCell="A4" zoomScale="121" workbookViewId="0">
      <selection activeCell="H12" sqref="H12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41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41</v>
      </c>
      <c r="D6" s="8">
        <v>60</v>
      </c>
      <c r="F6" s="8">
        <v>60</v>
      </c>
    </row>
    <row r="7" spans="2:8" x14ac:dyDescent="0.25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25">
      <c r="B8" t="s">
        <v>7</v>
      </c>
      <c r="C8" t="s">
        <v>44</v>
      </c>
      <c r="D8" s="58">
        <v>95</v>
      </c>
    </row>
    <row r="9" spans="2:8" x14ac:dyDescent="0.25">
      <c r="B9" t="s">
        <v>18</v>
      </c>
      <c r="C9" t="s">
        <v>41</v>
      </c>
      <c r="F9">
        <v>10</v>
      </c>
    </row>
    <row r="10" spans="2:8" x14ac:dyDescent="0.25">
      <c r="B10" t="s">
        <v>16</v>
      </c>
      <c r="C10" t="s">
        <v>42</v>
      </c>
    </row>
    <row r="11" spans="2:8" x14ac:dyDescent="0.25">
      <c r="B11" t="s">
        <v>8</v>
      </c>
      <c r="C11" t="s">
        <v>43</v>
      </c>
      <c r="F11">
        <v>25</v>
      </c>
    </row>
    <row r="12" spans="2:8" x14ac:dyDescent="0.25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42</v>
      </c>
    </row>
    <row r="14" spans="2:8" x14ac:dyDescent="0.25">
      <c r="B14" t="s">
        <v>15</v>
      </c>
      <c r="C14" t="s">
        <v>43</v>
      </c>
      <c r="F14">
        <v>31</v>
      </c>
    </row>
    <row r="15" spans="2:8" x14ac:dyDescent="0.25">
      <c r="B15" t="s">
        <v>59</v>
      </c>
      <c r="C15" t="s">
        <v>42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25">
      <c r="D20" t="s">
        <v>48</v>
      </c>
    </row>
    <row r="37" ht="30.75" customHeight="1" x14ac:dyDescent="0.25"/>
  </sheetData>
  <conditionalFormatting sqref="C1:C1048576">
    <cfRule type="cellIs" dxfId="28" priority="1" operator="equal">
      <formula>$C$10</formula>
    </cfRule>
    <cfRule type="cellIs" dxfId="27" priority="2" operator="equal">
      <formula>$C$7</formula>
    </cfRule>
    <cfRule type="cellIs" dxfId="26" priority="3" operator="equal">
      <formula>$C$3</formula>
    </cfRule>
    <cfRule type="cellIs" dxfId="2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3" workbookViewId="0">
      <selection activeCell="F18" sqref="F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1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25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25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25">
      <c r="A5" t="s">
        <v>56</v>
      </c>
      <c r="B5" t="s">
        <v>25</v>
      </c>
      <c r="C5" s="3">
        <v>2000</v>
      </c>
      <c r="D5" s="20">
        <v>45817</v>
      </c>
      <c r="H5" s="12">
        <v>251</v>
      </c>
      <c r="I5" s="20">
        <v>46118</v>
      </c>
      <c r="J5" s="12">
        <v>20</v>
      </c>
      <c r="K5" s="31">
        <v>0.27900000000000003</v>
      </c>
      <c r="N5" s="4"/>
    </row>
    <row r="6" spans="1:14" s="30" customFormat="1" x14ac:dyDescent="0.25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>
        <v>94.06</v>
      </c>
      <c r="I6" s="20">
        <v>46148</v>
      </c>
      <c r="J6" s="12"/>
      <c r="K6" s="31"/>
    </row>
    <row r="7" spans="1:14" x14ac:dyDescent="0.25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25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25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25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25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25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25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345.06</v>
      </c>
      <c r="I14" s="21"/>
      <c r="J14" s="21">
        <f>SUBTOTAL(109,J3:J13)</f>
        <v>20</v>
      </c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0" ht="15.75" thickBot="1" x14ac:dyDescent="0.3">
      <c r="A17" s="1" t="s">
        <v>34</v>
      </c>
      <c r="B17" s="9" t="s">
        <v>36</v>
      </c>
      <c r="C17" s="24">
        <v>46157</v>
      </c>
      <c r="D17" s="24">
        <v>46172</v>
      </c>
      <c r="E17" s="24"/>
      <c r="F17" s="24"/>
      <c r="G17" s="24"/>
      <c r="H17" s="24"/>
      <c r="I17" s="24"/>
    </row>
    <row r="18" spans="1:10" ht="15.75" thickBot="1" x14ac:dyDescent="0.3">
      <c r="A18" s="1" t="s">
        <v>35</v>
      </c>
      <c r="B18" s="57">
        <v>165</v>
      </c>
      <c r="C18" s="2">
        <v>40</v>
      </c>
      <c r="D18" s="2">
        <v>70</v>
      </c>
      <c r="E18" s="60">
        <v>50</v>
      </c>
      <c r="F18" s="2"/>
      <c r="G18" s="2"/>
      <c r="H18" s="2"/>
      <c r="I18" s="22"/>
      <c r="J18" s="23">
        <f>SUM(B18:I18)</f>
        <v>325</v>
      </c>
    </row>
    <row r="19" spans="1:10" ht="15.75" thickBot="1" x14ac:dyDescent="0.3">
      <c r="C19" s="11"/>
      <c r="D19" s="11"/>
      <c r="E19" s="55"/>
      <c r="F19" s="55"/>
      <c r="G19" s="2"/>
      <c r="H19" s="2"/>
      <c r="I19" s="20"/>
    </row>
    <row r="20" spans="1:10" ht="15.75" thickBot="1" x14ac:dyDescent="0.3">
      <c r="D20" s="12"/>
      <c r="H20" s="56" t="s">
        <v>37</v>
      </c>
      <c r="I20" s="25">
        <f>+H14+J14+G14</f>
        <v>365.06</v>
      </c>
    </row>
    <row r="21" spans="1:10" ht="15.75" thickBot="1" x14ac:dyDescent="0.3">
      <c r="D21" s="12"/>
      <c r="H21" s="26" t="s">
        <v>38</v>
      </c>
      <c r="I21" s="25">
        <f>+J18-H14-G14</f>
        <v>-20.060000000000002</v>
      </c>
    </row>
    <row r="22" spans="1:10" ht="15.75" thickBot="1" x14ac:dyDescent="0.3">
      <c r="D22" s="20"/>
      <c r="H22" s="27" t="s">
        <v>54</v>
      </c>
      <c r="I22" s="25">
        <f>+I21-J14</f>
        <v>-40.06</v>
      </c>
    </row>
    <row r="23" spans="1:10" x14ac:dyDescent="0.25">
      <c r="D23" s="12"/>
      <c r="I23" s="20"/>
    </row>
    <row r="24" spans="1:10" x14ac:dyDescent="0.25">
      <c r="D24" s="12"/>
      <c r="I24" s="20"/>
    </row>
    <row r="25" spans="1:10" x14ac:dyDescent="0.25">
      <c r="D25" s="12"/>
      <c r="I25" s="20"/>
    </row>
    <row r="26" spans="1:10" x14ac:dyDescent="0.25">
      <c r="D26" s="12"/>
      <c r="I26" s="20"/>
    </row>
    <row r="27" spans="1:10" x14ac:dyDescent="0.25">
      <c r="D27" s="12"/>
      <c r="I27" s="20"/>
    </row>
    <row r="28" spans="1:10" x14ac:dyDescent="0.25">
      <c r="D28" s="12"/>
      <c r="I28" s="20"/>
    </row>
    <row r="29" spans="1:10" x14ac:dyDescent="0.25">
      <c r="D29" s="12"/>
      <c r="I29" s="20"/>
    </row>
    <row r="30" spans="1:10" x14ac:dyDescent="0.25">
      <c r="D30" s="11"/>
      <c r="I30" s="20"/>
    </row>
    <row r="31" spans="1:10" x14ac:dyDescent="0.25">
      <c r="D31" s="20"/>
      <c r="I31" s="20"/>
    </row>
    <row r="32" spans="1:10" x14ac:dyDescent="0.25">
      <c r="D32" s="11"/>
      <c r="I32" s="20"/>
    </row>
    <row r="33" spans="4:9" x14ac:dyDescent="0.25">
      <c r="D33" s="11"/>
      <c r="I33" s="20"/>
    </row>
    <row r="34" spans="4:9" x14ac:dyDescent="0.25">
      <c r="D34" s="11"/>
      <c r="I34" s="20"/>
    </row>
    <row r="35" spans="4:9" x14ac:dyDescent="0.25">
      <c r="D35" s="11"/>
      <c r="I35" s="20"/>
    </row>
    <row r="36" spans="4:9" x14ac:dyDescent="0.25">
      <c r="D36" s="11"/>
      <c r="I36" s="20"/>
    </row>
    <row r="37" spans="4:9" x14ac:dyDescent="0.25">
      <c r="D37" s="11"/>
      <c r="I37" s="20"/>
    </row>
    <row r="38" spans="4:9" x14ac:dyDescent="0.25">
      <c r="D38" s="11"/>
      <c r="I38" s="20"/>
    </row>
    <row r="39" spans="4:9" x14ac:dyDescent="0.25">
      <c r="D39" s="11"/>
      <c r="I39" s="20"/>
    </row>
    <row r="40" spans="4:9" x14ac:dyDescent="0.25">
      <c r="D40" s="11"/>
      <c r="I40" s="20"/>
    </row>
    <row r="41" spans="4:9" x14ac:dyDescent="0.25">
      <c r="D41" s="20"/>
      <c r="I41" s="20"/>
    </row>
    <row r="42" spans="4:9" x14ac:dyDescent="0.25">
      <c r="D42" s="12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9 D31 D41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048576">
    <cfRule type="timePeriod" dxfId="18" priority="40" timePeriod="nextMonth">
      <formula>AND(MONTH(I1)=MONTH(EDATE(TODAY(),0+1)),YEAR(I1)=YEAR(EDATE(TODAY(),0+1)))</formula>
    </cfRule>
    <cfRule type="timePeriod" dxfId="17" priority="41" timePeriod="thisMonth">
      <formula>AND(MONTH(I1)=MONTH(TODAY()),YEAR(I1)=YEAR(TODAY()))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E5" sqref="E5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5" t="s">
        <v>49</v>
      </c>
      <c r="B1" s="48" t="s">
        <v>52</v>
      </c>
      <c r="C1" s="48" t="s">
        <v>53</v>
      </c>
    </row>
    <row r="2" spans="1:4" x14ac:dyDescent="0.25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7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7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7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7">
        <v>46173</v>
      </c>
      <c r="B12" s="11">
        <v>70</v>
      </c>
      <c r="C12" s="11">
        <v>100</v>
      </c>
      <c r="D12" t="b">
        <f t="shared" ca="1" si="0"/>
        <v>1</v>
      </c>
    </row>
    <row r="13" spans="1:4" x14ac:dyDescent="0.25">
      <c r="A13" s="47">
        <v>46188</v>
      </c>
      <c r="B13" s="11">
        <v>75</v>
      </c>
      <c r="C13" s="11"/>
      <c r="D13" t="b">
        <f t="shared" ca="1" si="0"/>
        <v>0</v>
      </c>
    </row>
    <row r="14" spans="1:4" x14ac:dyDescent="0.25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25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25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25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25">
      <c r="A53" s="46" t="s">
        <v>51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7">
        <v>46752</v>
      </c>
      <c r="B54" s="11">
        <v>70</v>
      </c>
      <c r="C54" s="49"/>
      <c r="D54" t="b">
        <f t="shared" ca="1" si="1"/>
        <v>0</v>
      </c>
    </row>
    <row r="55" spans="1:4" ht="15.75" thickBot="1" x14ac:dyDescent="0.3">
      <c r="B55" s="50">
        <f>SUM(B2:B54)</f>
        <v>4610</v>
      </c>
      <c r="C55" s="51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1">
        <f ca="1">IFERROR(SUMIFS(C2:C54,A2:A54,"&lt;="&amp;TODAY()),0)-IFERROR(SUMIFS(B2:B54,A2:A54,"&lt;="&amp;TODAY()),0)</f>
        <v>-180</v>
      </c>
      <c r="C57" s="62"/>
    </row>
    <row r="58" spans="1:4" x14ac:dyDescent="0.25">
      <c r="B58" s="59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2026-05-10T22:05:02Z</dcterms:modified>
</cp:coreProperties>
</file>