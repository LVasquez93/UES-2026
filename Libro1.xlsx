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5683051E-7897-43DB-A825-42B18935446B}" xr6:coauthVersionLast="47" xr6:coauthVersionMax="47" xr10:uidLastSave="{00000000-0000-0000-0000-000000000000}"/>
  <bookViews>
    <workbookView xWindow="-120" yWindow="-120" windowWidth="20640" windowHeight="1116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4" i="3" l="1"/>
  <c r="J3" i="2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<sst xmlns="http://schemas.openxmlformats.org/spreadsheetml/2006/main" count="84" uniqueCount="61">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</sst>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J37"/>
  <sheetViews>
    <sheetView zoomScale="121" workbookViewId="0">
      <selection activeCell="J4" sqref="J4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10" x14ac:dyDescent="0.25">
      <c r="B1" s="13" t="s">
        <v>14</v>
      </c>
      <c r="C1" s="13"/>
      <c r="D1" s="13">
        <v>15</v>
      </c>
      <c r="F1" s="13">
        <v>30</v>
      </c>
    </row>
    <row r="2" spans="2:10" x14ac:dyDescent="0.25">
      <c r="B2" s="9" t="s">
        <v>2</v>
      </c>
      <c r="C2" s="9" t="s">
        <v>20</v>
      </c>
      <c r="D2" s="8">
        <v>60</v>
      </c>
      <c r="E2" t="s">
        <v>60</v>
      </c>
      <c r="F2" s="8">
        <v>60</v>
      </c>
    </row>
    <row r="3" spans="2:10" x14ac:dyDescent="0.25">
      <c r="B3" s="9" t="s">
        <v>3</v>
      </c>
      <c r="C3" s="9" t="s">
        <v>41</v>
      </c>
      <c r="D3" s="8">
        <v>50</v>
      </c>
      <c r="F3" s="8">
        <v>50</v>
      </c>
      <c r="J3">
        <f>482-95-110</f>
        <v>277</v>
      </c>
    </row>
    <row r="4" spans="2:10" x14ac:dyDescent="0.25">
      <c r="B4" s="9" t="s">
        <v>4</v>
      </c>
      <c r="C4" s="9" t="s">
        <v>20</v>
      </c>
      <c r="D4" s="8">
        <v>10</v>
      </c>
      <c r="E4" t="s">
        <v>60</v>
      </c>
      <c r="F4" s="8">
        <v>10</v>
      </c>
    </row>
    <row r="5" spans="2:10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10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10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10" x14ac:dyDescent="0.25">
      <c r="B8" t="s">
        <v>7</v>
      </c>
      <c r="C8" t="s">
        <v>44</v>
      </c>
      <c r="D8" s="58">
        <v>95</v>
      </c>
    </row>
    <row r="9" spans="2:10" x14ac:dyDescent="0.25">
      <c r="B9" t="s">
        <v>18</v>
      </c>
      <c r="C9" t="s">
        <v>41</v>
      </c>
      <c r="F9">
        <v>10</v>
      </c>
    </row>
    <row r="10" spans="2:10" x14ac:dyDescent="0.25">
      <c r="B10" t="s">
        <v>16</v>
      </c>
      <c r="C10" t="s">
        <v>42</v>
      </c>
    </row>
    <row r="11" spans="2:10" x14ac:dyDescent="0.25">
      <c r="B11" t="s">
        <v>8</v>
      </c>
      <c r="C11" t="s">
        <v>43</v>
      </c>
      <c r="F11">
        <v>25</v>
      </c>
    </row>
    <row r="12" spans="2:10" x14ac:dyDescent="0.25">
      <c r="B12" t="s">
        <v>9</v>
      </c>
      <c r="C12" t="s">
        <v>43</v>
      </c>
      <c r="D12">
        <v>15</v>
      </c>
      <c r="E12" t="s">
        <v>60</v>
      </c>
      <c r="F12">
        <v>5</v>
      </c>
      <c r="H12">
        <v>8286917</v>
      </c>
    </row>
    <row r="13" spans="2:10" x14ac:dyDescent="0.25">
      <c r="B13" t="s">
        <v>10</v>
      </c>
      <c r="C13" t="s">
        <v>42</v>
      </c>
    </row>
    <row r="14" spans="2:10" x14ac:dyDescent="0.25">
      <c r="B14" t="s">
        <v>15</v>
      </c>
      <c r="C14" t="s">
        <v>43</v>
      </c>
      <c r="F14">
        <v>31</v>
      </c>
    </row>
    <row r="15" spans="2:10" x14ac:dyDescent="0.25">
      <c r="B15" t="s">
        <v>59</v>
      </c>
      <c r="C15" t="s">
        <v>42</v>
      </c>
      <c r="D15">
        <v>48</v>
      </c>
      <c r="E15" t="s">
        <v>60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5" workbookViewId="0">
      <selection activeCell="I20" sqref="H20:I22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>
        <v>251</v>
      </c>
      <c r="I5" s="20">
        <v>46179</v>
      </c>
      <c r="J5" s="12">
        <v>84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>
        <v>95</v>
      </c>
      <c r="I6" s="20">
        <v>46179</v>
      </c>
      <c r="J6" s="12">
        <v>80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46.7</v>
      </c>
      <c r="F13" s="12">
        <v>46.32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93.02000000000001</v>
      </c>
      <c r="F14" s="21"/>
      <c r="G14" s="21">
        <f>SUM(G3:G13)</f>
        <v>0</v>
      </c>
      <c r="H14" s="21">
        <f>SUBTOTAL(109,H3:H13)</f>
        <v>346</v>
      </c>
      <c r="I14" s="21"/>
      <c r="J14" s="21">
        <f>SUBTOTAL(109,J3:J13)</f>
        <v>164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>
        <v>46172</v>
      </c>
      <c r="D17" s="24">
        <v>46188</v>
      </c>
      <c r="E17" s="24">
        <v>46203</v>
      </c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428</v>
      </c>
      <c r="C18" s="2">
        <v>70</v>
      </c>
      <c r="D18" s="2">
        <v>40</v>
      </c>
      <c r="E18" s="60"/>
      <c r="F18" s="2"/>
      <c r="G18" s="2"/>
      <c r="H18" s="2"/>
      <c r="I18" s="22"/>
      <c r="J18" s="23">
        <f>SUM(B18:I18)</f>
        <v>538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510</v>
      </c>
    </row>
    <row r="21" spans="1:10" ht="15.75" thickBot="1" x14ac:dyDescent="0.3">
      <c r="D21" s="12"/>
      <c r="H21" s="26" t="s">
        <v>38</v>
      </c>
      <c r="I21" s="25">
        <f>+J18-H14-G14</f>
        <v>192</v>
      </c>
    </row>
    <row r="22" spans="1:10" ht="15.75" thickBot="1" x14ac:dyDescent="0.3">
      <c r="D22" s="20"/>
      <c r="H22" s="27" t="s">
        <v>54</v>
      </c>
      <c r="I22" s="25">
        <f>+I21-J14</f>
        <v>28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E5" sqref="E5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>
        <v>100</v>
      </c>
      <c r="D12" t="b">
        <f t="shared" ca="1" si="0"/>
        <v>1</v>
      </c>
    </row>
    <row r="13" spans="1:4" x14ac:dyDescent="0.25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1">
        <f ca="1">IFERROR(SUMIFS(C2:C54,A2:A54,"&lt;="&amp;TODAY()),0)-IFERROR(SUMIFS(B2:B54,A2:A54,"&lt;="&amp;TODAY()),0)</f>
        <v>-205</v>
      </c>
      <c r="C57" s="62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2026-05-23T20:00:37Z</dcterms:modified>
</cp:coreProperties>
</file>