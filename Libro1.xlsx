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s Vasquez\Desktop\UES-2026\"/>
    </mc:Choice>
  </mc:AlternateContent>
  <xr:revisionPtr revIDLastSave="0" documentId="13_ncr:1_{50D2BAAC-C70D-40E1-AF31-06BC38C4B3DC}" xr6:coauthVersionLast="47" xr6:coauthVersionMax="47" xr10:uidLastSave="{00000000-0000-0000-0000-000000000000}"/>
  <bookViews>
    <workbookView xWindow="-120" yWindow="-120" windowWidth="20640" windowHeight="11160" activeTab="2" xr2:uid="{FB526614-3037-4115-BDD6-0ED9B92D9E7C}"/>
  </bookViews>
  <sheets>
    <sheet name="Hoja2" sheetId="2" r:id="rId1"/>
    <sheet name="Hoja3" sheetId="3" r:id="rId2"/>
    <sheet name="Hoja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3" i="4" l="1"/>
  <c r="B57" i="4"/>
  <c r="B55" i="4"/>
  <c r="C55" i="4"/>
  <c r="D18" i="2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C14" i="3"/>
  <c r="J18" i="3"/>
  <c r="H14" i="3"/>
  <c r="G14" i="3"/>
  <c r="F17" i="2"/>
  <c r="I21" i="3" l="1"/>
  <c r="J14" i="3"/>
  <c r="I20" i="3" s="1"/>
  <c r="F19" i="2"/>
  <c r="I22" i="3" l="1"/>
  <c r="D17" i="2" l="1"/>
  <c r="D19" i="2" s="1"/>
</calcChain>
</file>

<file path=xl/sharedStrings.xml><?xml version="1.0" encoding="utf-8"?>
<sst xmlns="http://schemas.openxmlformats.org/spreadsheetml/2006/main" count="80" uniqueCount="60">
  <si>
    <t>Totales</t>
  </si>
  <si>
    <t>Pendiente para siguiente corte</t>
  </si>
  <si>
    <t>Comida</t>
  </si>
  <si>
    <t>Cuido Benja</t>
  </si>
  <si>
    <t>Lunchs</t>
  </si>
  <si>
    <t>Gas</t>
  </si>
  <si>
    <t>Almuerzos</t>
  </si>
  <si>
    <t>Prestamo</t>
  </si>
  <si>
    <t>Cable</t>
  </si>
  <si>
    <t>Luz&amp;agua</t>
  </si>
  <si>
    <t>Intrafinanciamiento</t>
  </si>
  <si>
    <t>GASTOS</t>
  </si>
  <si>
    <t>SALARIO</t>
  </si>
  <si>
    <t>SOBRANTE</t>
  </si>
  <si>
    <t>actual</t>
  </si>
  <si>
    <t>Telefono</t>
  </si>
  <si>
    <t>Netflix+Spotify</t>
  </si>
  <si>
    <t>Ahorro Obligatorio</t>
  </si>
  <si>
    <t>Colegio</t>
  </si>
  <si>
    <t>Banco</t>
  </si>
  <si>
    <t>Tarjeta</t>
  </si>
  <si>
    <t>Monto</t>
  </si>
  <si>
    <t>Fecha de pago</t>
  </si>
  <si>
    <t>Cantidad Adeudada</t>
  </si>
  <si>
    <t>VISA CLASICA</t>
  </si>
  <si>
    <t>VISA GOLD</t>
  </si>
  <si>
    <t>Fecha Corte</t>
  </si>
  <si>
    <t>Deuda a largo Plazo</t>
  </si>
  <si>
    <t>Cuota a largo plazo</t>
  </si>
  <si>
    <t>BAC</t>
  </si>
  <si>
    <t xml:space="preserve">VISA </t>
  </si>
  <si>
    <t>MASTERCARD</t>
  </si>
  <si>
    <t>Promerica</t>
  </si>
  <si>
    <t>Banco Azul</t>
  </si>
  <si>
    <t>Fecha</t>
  </si>
  <si>
    <t>Saldos</t>
  </si>
  <si>
    <t>Liquido Disponible</t>
  </si>
  <si>
    <t>Deuda Total</t>
  </si>
  <si>
    <t>Corte Actual</t>
  </si>
  <si>
    <t>Davivienda2</t>
  </si>
  <si>
    <t>Davivienda1</t>
  </si>
  <si>
    <t>Efectivo</t>
  </si>
  <si>
    <t>PagoTarjeta</t>
  </si>
  <si>
    <t>PagoCuenta</t>
  </si>
  <si>
    <t>CuentaAuto</t>
  </si>
  <si>
    <t>MASTERCARD Selectos</t>
  </si>
  <si>
    <t>%</t>
  </si>
  <si>
    <t>MASTERCARD WALTMART</t>
  </si>
  <si>
    <t xml:space="preserve"> </t>
  </si>
  <si>
    <t>Regimen de Ahorro</t>
  </si>
  <si>
    <t>bono</t>
  </si>
  <si>
    <t>aguinaldo</t>
  </si>
  <si>
    <t>Monto sugerido</t>
  </si>
  <si>
    <t>Monto Real</t>
  </si>
  <si>
    <t>Próximo Corte</t>
  </si>
  <si>
    <t>Suscripciones y otros gastos automáticos</t>
  </si>
  <si>
    <t>Banco Agrícola</t>
  </si>
  <si>
    <t>MasterCard CLASICA</t>
  </si>
  <si>
    <t>Cuscatlán</t>
  </si>
  <si>
    <t>Tasa cero Sillones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</si>
</sst>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40A]* #,##0.00_-;\-[$$-440A]* #,##0.00_-;_-[$$-440A]* &quot;-&quot;??_-;_-@_-"/>
    <numFmt numFmtId="165" formatCode="0.0%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7" tint="-0.499984740745262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2">
    <xf numFmtId="0" fontId="0" fillId="0" borderId="0" xfId="0"/>
    <xf numFmtId="0" fontId="0" fillId="2" borderId="1" xfId="0" applyFill="1" applyBorder="1"/>
    <xf numFmtId="164" fontId="0" fillId="0" borderId="1" xfId="0" applyNumberFormat="1" applyBorder="1"/>
    <xf numFmtId="164" fontId="0" fillId="0" borderId="0" xfId="0" applyNumberFormat="1"/>
    <xf numFmtId="14" fontId="0" fillId="0" borderId="0" xfId="0" applyNumberFormat="1"/>
    <xf numFmtId="0" fontId="3" fillId="0" borderId="1" xfId="0" applyFont="1" applyBorder="1"/>
    <xf numFmtId="0" fontId="2" fillId="4" borderId="1" xfId="0" applyFont="1" applyFill="1" applyBorder="1"/>
    <xf numFmtId="0" fontId="2" fillId="5" borderId="1" xfId="0" applyFont="1" applyFill="1" applyBorder="1"/>
    <xf numFmtId="0" fontId="0" fillId="6" borderId="1" xfId="0" applyFill="1" applyBorder="1"/>
    <xf numFmtId="0" fontId="0" fillId="0" borderId="1" xfId="0" applyBorder="1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5" fillId="7" borderId="0" xfId="0" applyFont="1" applyFill="1"/>
    <xf numFmtId="0" fontId="1" fillId="8" borderId="2" xfId="0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/>
    </xf>
    <xf numFmtId="14" fontId="1" fillId="8" borderId="2" xfId="0" applyNumberFormat="1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 wrapText="1"/>
    </xf>
    <xf numFmtId="164" fontId="6" fillId="9" borderId="2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4" fontId="7" fillId="0" borderId="0" xfId="0" applyNumberFormat="1" applyFont="1"/>
    <xf numFmtId="164" fontId="0" fillId="0" borderId="5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" fontId="0" fillId="0" borderId="3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0" fontId="1" fillId="3" borderId="6" xfId="0" applyFont="1" applyFill="1" applyBorder="1"/>
    <xf numFmtId="0" fontId="1" fillId="10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10" borderId="6" xfId="0" applyFont="1" applyFill="1" applyBorder="1" applyAlignment="1">
      <alignment horizontal="center" vertical="center" wrapText="1"/>
    </xf>
    <xf numFmtId="0" fontId="8" fillId="0" borderId="0" xfId="0" applyFont="1"/>
    <xf numFmtId="165" fontId="0" fillId="0" borderId="0" xfId="1" applyNumberFormat="1" applyFont="1"/>
    <xf numFmtId="165" fontId="0" fillId="0" borderId="8" xfId="1" applyNumberFormat="1" applyFont="1" applyBorder="1" applyAlignment="1">
      <alignment horizontal="center" vertical="center"/>
    </xf>
    <xf numFmtId="164" fontId="9" fillId="0" borderId="0" xfId="0" applyNumberFormat="1" applyFont="1"/>
    <xf numFmtId="0" fontId="10" fillId="0" borderId="0" xfId="0" applyFont="1"/>
    <xf numFmtId="164" fontId="10" fillId="0" borderId="0" xfId="0" applyNumberFormat="1" applyFont="1"/>
    <xf numFmtId="16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5" fontId="10" fillId="0" borderId="0" xfId="1" applyNumberFormat="1" applyFont="1"/>
    <xf numFmtId="0" fontId="11" fillId="0" borderId="0" xfId="0" applyFont="1"/>
    <xf numFmtId="164" fontId="11" fillId="0" borderId="0" xfId="0" applyNumberFormat="1" applyFont="1"/>
    <xf numFmtId="1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5" fontId="11" fillId="0" borderId="0" xfId="1" applyNumberFormat="1" applyFont="1"/>
    <xf numFmtId="164" fontId="9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 vertical="center"/>
    </xf>
    <xf numFmtId="164" fontId="1" fillId="2" borderId="6" xfId="0" applyNumberFormat="1" applyFont="1" applyFill="1" applyBorder="1"/>
    <xf numFmtId="164" fontId="6" fillId="11" borderId="4" xfId="0" applyNumberFormat="1" applyFont="1" applyFill="1" applyBorder="1"/>
    <xf numFmtId="0" fontId="9" fillId="0" borderId="0" xfId="0" applyFont="1"/>
    <xf numFmtId="16" fontId="9" fillId="0" borderId="0" xfId="0" applyNumberFormat="1" applyFont="1" applyAlignment="1">
      <alignment horizontal="center" vertical="center"/>
    </xf>
    <xf numFmtId="165" fontId="9" fillId="0" borderId="0" xfId="1" applyNumberFormat="1" applyFont="1"/>
    <xf numFmtId="164" fontId="0" fillId="0" borderId="10" xfId="0" applyNumberFormat="1" applyBorder="1" applyAlignment="1">
      <alignment horizontal="center" vertical="center"/>
    </xf>
    <xf numFmtId="0" fontId="1" fillId="7" borderId="11" xfId="0" applyFont="1" applyFill="1" applyBorder="1"/>
    <xf numFmtId="164" fontId="0" fillId="0" borderId="5" xfId="0" applyNumberFormat="1" applyBorder="1"/>
    <xf numFmtId="0" fontId="0" fillId="6" borderId="12" xfId="0" applyFill="1" applyBorder="1"/>
    <xf numFmtId="0" fontId="0" fillId="0" borderId="0" xfId="1" applyNumberFormat="1" applyFont="1"/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29"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numFmt numFmtId="164" formatCode="_-[$$-440A]* #,##0.00_-;\-[$$-440A]* #,##0.00_-;_-[$$-440A]* &quot;-&quot;??_-;_-@_-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21" formatCode="d\-mmm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550F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0B394-EFA3-4F1F-B95B-C46D43801A73}" name="Tabla1" displayName="Tabla1" ref="A2:K14" totalsRowShown="0" headerRowBorderDxfId="13" tableBorderDxfId="12">
  <autoFilter ref="A2:K14" xr:uid="{34D0B394-EFA3-4F1F-B95B-C46D43801A73}"/>
  <sortState xmlns:xlrd2="http://schemas.microsoft.com/office/spreadsheetml/2017/richdata2" ref="A3:K14">
    <sortCondition ref="D3:D14"/>
  </sortState>
  <tableColumns count="11">
    <tableColumn id="1" xr3:uid="{4E2F1548-5DA7-4ADC-946F-053ED807460A}" name="Banco"/>
    <tableColumn id="2" xr3:uid="{11D77EA7-239F-47E1-9378-FFBA07ACDD06}" name="Tarjeta"/>
    <tableColumn id="3" xr3:uid="{EFA2D810-AA01-4F56-B9AC-1F88A60DCC7F}" name="Monto" dataDxfId="11"/>
    <tableColumn id="4" xr3:uid="{B3C14A42-22A4-422A-B5B2-35BF05E35EEF}" name="Fecha Corte" dataDxfId="10"/>
    <tableColumn id="5" xr3:uid="{6869DC75-BE3A-4901-B724-828BF9F9A7D0}" name="Deuda a largo Plazo" dataDxfId="9"/>
    <tableColumn id="10" xr3:uid="{2810DEE2-032A-4175-802A-5F857D20294D}" name="Cuota a largo plazo" dataDxfId="8"/>
    <tableColumn id="13" xr3:uid="{F7FEE37A-0726-482F-99D8-F9C07724EC3E}" name="Suscripciones y otros gastos automáticos" dataDxfId="7"/>
    <tableColumn id="6" xr3:uid="{F6732F4E-388B-4DFE-91E1-BA3615EF330A}" name="Cantidad Adeudada" dataDxfId="6"/>
    <tableColumn id="7" xr3:uid="{1F40E7A5-C692-4043-8A55-5DC3E0A18EC9}" name="Fecha de pago" dataDxfId="5"/>
    <tableColumn id="8" xr3:uid="{186BC069-E422-445A-BA99-6BBE52ACA160}" name="Pendiente para siguiente corte" dataDxfId="4"/>
    <tableColumn id="9" xr3:uid="{ABA9A903-D4C5-4280-9E9A-38F020209A6A}" name="%" dataDxfId="3" dataCellStyle="Porcentaje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DE2A9-9218-4E10-883D-DF66D771FC39}">
  <dimension ref="B1:H37"/>
  <sheetViews>
    <sheetView topLeftCell="A2" zoomScale="121" workbookViewId="0">
      <selection activeCell="D15" sqref="D15"/>
    </sheetView>
  </sheetViews>
  <sheetFormatPr baseColWidth="10" defaultRowHeight="15" x14ac:dyDescent="0.25"/>
  <cols>
    <col min="2" max="2" width="18.7109375" bestFit="1" customWidth="1"/>
    <col min="3" max="3" width="10.7109375" customWidth="1"/>
    <col min="5" max="5" width="3.140625" customWidth="1"/>
    <col min="6" max="6" width="10.85546875" bestFit="1" customWidth="1"/>
    <col min="7" max="7" width="3.140625" customWidth="1"/>
  </cols>
  <sheetData>
    <row r="1" spans="2:8" x14ac:dyDescent="0.25">
      <c r="B1" s="13" t="s">
        <v>14</v>
      </c>
      <c r="C1" s="13"/>
      <c r="D1" s="13">
        <v>15</v>
      </c>
      <c r="F1" s="13">
        <v>30</v>
      </c>
    </row>
    <row r="2" spans="2:8" x14ac:dyDescent="0.25">
      <c r="B2" s="9" t="s">
        <v>2</v>
      </c>
      <c r="C2" s="9" t="s">
        <v>20</v>
      </c>
      <c r="D2" s="8">
        <v>60</v>
      </c>
      <c r="F2" s="8">
        <v>60</v>
      </c>
    </row>
    <row r="3" spans="2:8" x14ac:dyDescent="0.25">
      <c r="B3" s="9" t="s">
        <v>3</v>
      </c>
      <c r="C3" s="9" t="s">
        <v>41</v>
      </c>
      <c r="D3" s="8">
        <v>50</v>
      </c>
      <c r="F3" s="8">
        <v>50</v>
      </c>
    </row>
    <row r="4" spans="2:8" x14ac:dyDescent="0.25">
      <c r="B4" s="9" t="s">
        <v>4</v>
      </c>
      <c r="C4" s="9" t="s">
        <v>20</v>
      </c>
      <c r="D4" s="8">
        <v>10</v>
      </c>
      <c r="F4" s="8">
        <v>10</v>
      </c>
    </row>
    <row r="5" spans="2:8" x14ac:dyDescent="0.25">
      <c r="B5" s="9" t="s">
        <v>5</v>
      </c>
      <c r="C5" s="9" t="s">
        <v>20</v>
      </c>
      <c r="D5" s="8">
        <v>20</v>
      </c>
      <c r="F5" s="8">
        <v>20</v>
      </c>
    </row>
    <row r="6" spans="2:8" x14ac:dyDescent="0.25">
      <c r="B6" s="9" t="s">
        <v>6</v>
      </c>
      <c r="C6" s="9" t="s">
        <v>41</v>
      </c>
      <c r="D6" s="8">
        <v>70</v>
      </c>
      <c r="F6" s="8">
        <v>70</v>
      </c>
    </row>
    <row r="7" spans="2:8" x14ac:dyDescent="0.25">
      <c r="B7" s="9" t="s">
        <v>17</v>
      </c>
      <c r="C7" s="9" t="s">
        <v>44</v>
      </c>
      <c r="D7" s="8">
        <v>100</v>
      </c>
      <c r="F7" s="8">
        <v>100</v>
      </c>
    </row>
    <row r="8" spans="2:8" x14ac:dyDescent="0.25">
      <c r="B8" t="s">
        <v>7</v>
      </c>
      <c r="C8" t="s">
        <v>44</v>
      </c>
      <c r="D8" s="58">
        <v>95</v>
      </c>
    </row>
    <row r="9" spans="2:8" x14ac:dyDescent="0.25">
      <c r="B9" t="s">
        <v>18</v>
      </c>
      <c r="C9" t="s">
        <v>41</v>
      </c>
      <c r="F9">
        <v>15</v>
      </c>
    </row>
    <row r="10" spans="2:8" x14ac:dyDescent="0.25">
      <c r="B10" t="s">
        <v>16</v>
      </c>
      <c r="C10" t="s">
        <v>42</v>
      </c>
    </row>
    <row r="11" spans="2:8" x14ac:dyDescent="0.25">
      <c r="B11" t="s">
        <v>8</v>
      </c>
      <c r="C11" t="s">
        <v>43</v>
      </c>
      <c r="F11">
        <v>25</v>
      </c>
    </row>
    <row r="12" spans="2:8" x14ac:dyDescent="0.25">
      <c r="B12" t="s">
        <v>9</v>
      </c>
      <c r="C12" t="s">
        <v>43</v>
      </c>
      <c r="D12">
        <v>15</v>
      </c>
      <c r="F12">
        <v>5</v>
      </c>
      <c r="H12">
        <v>8286917</v>
      </c>
    </row>
    <row r="13" spans="2:8" x14ac:dyDescent="0.25">
      <c r="B13" t="s">
        <v>10</v>
      </c>
      <c r="C13" t="s">
        <v>42</v>
      </c>
    </row>
    <row r="14" spans="2:8" x14ac:dyDescent="0.25">
      <c r="B14" t="s">
        <v>15</v>
      </c>
      <c r="C14" t="s">
        <v>43</v>
      </c>
      <c r="F14">
        <v>31</v>
      </c>
    </row>
    <row r="15" spans="2:8" x14ac:dyDescent="0.25">
      <c r="B15" t="s">
        <v>59</v>
      </c>
      <c r="C15" t="s">
        <v>42</v>
      </c>
      <c r="D15">
        <v>48</v>
      </c>
    </row>
    <row r="17" spans="2:6" x14ac:dyDescent="0.25">
      <c r="B17" s="7" t="s">
        <v>11</v>
      </c>
      <c r="C17" s="7"/>
      <c r="D17" s="7">
        <f>SUM(D2:D16)</f>
        <v>468</v>
      </c>
      <c r="F17" s="7">
        <f>SUM(F2:F16)</f>
        <v>386</v>
      </c>
    </row>
    <row r="18" spans="2:6" x14ac:dyDescent="0.25">
      <c r="B18" s="6" t="s">
        <v>12</v>
      </c>
      <c r="C18" s="6"/>
      <c r="D18" s="6">
        <f>250+250</f>
        <v>500</v>
      </c>
      <c r="F18" s="6">
        <v>448</v>
      </c>
    </row>
    <row r="19" spans="2:6" x14ac:dyDescent="0.25">
      <c r="B19" s="5" t="s">
        <v>13</v>
      </c>
      <c r="C19" s="5"/>
      <c r="D19" s="5">
        <f>D18-D17</f>
        <v>32</v>
      </c>
      <c r="F19" s="5">
        <f>F18-F17</f>
        <v>62</v>
      </c>
    </row>
    <row r="20" spans="2:6" x14ac:dyDescent="0.25">
      <c r="D20" t="s">
        <v>48</v>
      </c>
    </row>
    <row r="37" ht="30.75" customHeight="1" x14ac:dyDescent="0.25"/>
  </sheetData>
  <conditionalFormatting sqref="C1:C1048576">
    <cfRule type="cellIs" dxfId="28" priority="1" operator="equal">
      <formula>$C$10</formula>
    </cfRule>
    <cfRule type="cellIs" dxfId="27" priority="2" operator="equal">
      <formula>$C$7</formula>
    </cfRule>
    <cfRule type="cellIs" dxfId="26" priority="3" operator="equal">
      <formula>$C$3</formula>
    </cfRule>
    <cfRule type="cellIs" dxfId="25" priority="4" operator="equal">
      <formula>$C$2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43D18-F407-4702-B159-A2C7E22E2016}">
  <dimension ref="A1:N131"/>
  <sheetViews>
    <sheetView topLeftCell="A3" workbookViewId="0">
      <selection activeCell="J6" sqref="J6"/>
    </sheetView>
  </sheetViews>
  <sheetFormatPr baseColWidth="10" defaultRowHeight="15" x14ac:dyDescent="0.25"/>
  <cols>
    <col min="1" max="1" width="15.85546875" bestFit="1" customWidth="1"/>
    <col min="2" max="2" width="23.5703125" bestFit="1" customWidth="1"/>
    <col min="3" max="3" width="13" style="3" bestFit="1" customWidth="1"/>
    <col min="4" max="4" width="13.5703125" style="19" customWidth="1"/>
    <col min="5" max="5" width="14.28515625" style="12" customWidth="1"/>
    <col min="6" max="6" width="15.85546875" style="12" customWidth="1"/>
    <col min="7" max="8" width="16.140625" style="3" customWidth="1"/>
    <col min="9" max="9" width="13.7109375" style="10" customWidth="1"/>
    <col min="10" max="10" width="17.42578125" style="12" customWidth="1"/>
    <col min="11" max="11" width="7.140625" style="31" bestFit="1" customWidth="1"/>
  </cols>
  <sheetData>
    <row r="1" spans="1:14" ht="15.75" thickBot="1" x14ac:dyDescent="0.3"/>
    <row r="2" spans="1:14" ht="45.75" thickBot="1" x14ac:dyDescent="0.3">
      <c r="A2" s="14" t="s">
        <v>19</v>
      </c>
      <c r="B2" s="14" t="s">
        <v>20</v>
      </c>
      <c r="C2" s="15" t="s">
        <v>21</v>
      </c>
      <c r="D2" s="16" t="s">
        <v>26</v>
      </c>
      <c r="E2" s="17" t="s">
        <v>27</v>
      </c>
      <c r="F2" s="17" t="s">
        <v>28</v>
      </c>
      <c r="G2" s="18" t="s">
        <v>55</v>
      </c>
      <c r="H2" s="28" t="s">
        <v>23</v>
      </c>
      <c r="I2" s="14" t="s">
        <v>22</v>
      </c>
      <c r="J2" s="29" t="s">
        <v>1</v>
      </c>
      <c r="K2" s="32" t="s">
        <v>46</v>
      </c>
    </row>
    <row r="3" spans="1:14" s="39" customFormat="1" x14ac:dyDescent="0.25">
      <c r="A3" s="39" t="s">
        <v>40</v>
      </c>
      <c r="B3" s="39" t="s">
        <v>31</v>
      </c>
      <c r="C3" s="40">
        <v>1750</v>
      </c>
      <c r="D3" s="41">
        <v>45815</v>
      </c>
      <c r="E3" s="42"/>
      <c r="F3" s="42"/>
      <c r="G3" s="40"/>
      <c r="H3" s="40"/>
      <c r="I3" s="41">
        <v>45871</v>
      </c>
      <c r="J3" s="42"/>
      <c r="K3" s="43"/>
    </row>
    <row r="4" spans="1:14" s="34" customFormat="1" x14ac:dyDescent="0.25">
      <c r="A4" s="34" t="s">
        <v>56</v>
      </c>
      <c r="B4" s="34" t="s">
        <v>24</v>
      </c>
      <c r="C4" s="35">
        <v>700</v>
      </c>
      <c r="D4" s="36">
        <v>45817</v>
      </c>
      <c r="E4" s="37"/>
      <c r="F4" s="37"/>
      <c r="G4" s="35"/>
      <c r="H4" s="35"/>
      <c r="I4" s="36">
        <v>45872</v>
      </c>
      <c r="J4" s="37"/>
      <c r="K4" s="38"/>
    </row>
    <row r="5" spans="1:14" x14ac:dyDescent="0.25">
      <c r="A5" t="s">
        <v>56</v>
      </c>
      <c r="B5" t="s">
        <v>25</v>
      </c>
      <c r="C5" s="3">
        <v>2000</v>
      </c>
      <c r="D5" s="20">
        <v>45817</v>
      </c>
      <c r="H5" s="12"/>
      <c r="I5" s="20">
        <v>46118</v>
      </c>
      <c r="J5" s="12">
        <v>612.54</v>
      </c>
      <c r="K5" s="31">
        <v>0.27900000000000003</v>
      </c>
      <c r="N5" s="4"/>
    </row>
    <row r="6" spans="1:14" s="30" customFormat="1" x14ac:dyDescent="0.25">
      <c r="A6" t="s">
        <v>32</v>
      </c>
      <c r="B6" t="s">
        <v>57</v>
      </c>
      <c r="C6" s="3">
        <v>840</v>
      </c>
      <c r="D6" s="20">
        <v>45817</v>
      </c>
      <c r="E6" s="12"/>
      <c r="F6" s="12"/>
      <c r="G6" s="12"/>
      <c r="H6" s="33"/>
      <c r="I6" s="20">
        <v>46118</v>
      </c>
      <c r="J6" s="12">
        <v>60.79</v>
      </c>
      <c r="K6" s="31"/>
    </row>
    <row r="7" spans="1:14" x14ac:dyDescent="0.25">
      <c r="A7" t="s">
        <v>33</v>
      </c>
      <c r="B7" t="s">
        <v>25</v>
      </c>
      <c r="C7" s="3">
        <v>1925</v>
      </c>
      <c r="D7" s="20">
        <v>45817</v>
      </c>
      <c r="G7" s="12"/>
      <c r="H7" s="12"/>
      <c r="I7" s="20">
        <v>45874</v>
      </c>
      <c r="K7" s="31">
        <v>0.18</v>
      </c>
    </row>
    <row r="8" spans="1:14" s="34" customFormat="1" x14ac:dyDescent="0.25">
      <c r="A8" s="34" t="s">
        <v>39</v>
      </c>
      <c r="B8" s="34" t="s">
        <v>30</v>
      </c>
      <c r="C8" s="35">
        <v>1350</v>
      </c>
      <c r="D8" s="36">
        <v>45822</v>
      </c>
      <c r="E8" s="37"/>
      <c r="F8" s="37"/>
      <c r="G8" s="35"/>
      <c r="H8" s="35"/>
      <c r="I8" s="36">
        <v>45877</v>
      </c>
      <c r="J8" s="37"/>
      <c r="K8" s="38"/>
    </row>
    <row r="9" spans="1:14" s="52" customFormat="1" x14ac:dyDescent="0.25">
      <c r="A9" s="52" t="s">
        <v>29</v>
      </c>
      <c r="B9" s="52" t="s">
        <v>25</v>
      </c>
      <c r="C9" s="33">
        <v>1500</v>
      </c>
      <c r="D9" s="53">
        <v>45826</v>
      </c>
      <c r="E9" s="44"/>
      <c r="F9" s="44"/>
      <c r="G9" s="33"/>
      <c r="H9" s="33"/>
      <c r="I9" s="53">
        <v>45943</v>
      </c>
      <c r="J9" s="44"/>
      <c r="K9" s="54"/>
    </row>
    <row r="10" spans="1:14" s="30" customFormat="1" x14ac:dyDescent="0.25">
      <c r="A10" t="s">
        <v>29</v>
      </c>
      <c r="B10" t="s">
        <v>47</v>
      </c>
      <c r="C10" s="3">
        <v>2000</v>
      </c>
      <c r="D10" s="20">
        <v>45826</v>
      </c>
      <c r="E10" s="12"/>
      <c r="F10" s="12"/>
      <c r="G10" s="12"/>
      <c r="H10" s="12"/>
      <c r="I10" s="20">
        <v>45943</v>
      </c>
      <c r="J10" s="12"/>
      <c r="K10" s="31"/>
    </row>
    <row r="11" spans="1:14" s="34" customFormat="1" x14ac:dyDescent="0.25">
      <c r="A11" s="34" t="s">
        <v>29</v>
      </c>
      <c r="B11" s="34" t="s">
        <v>45</v>
      </c>
      <c r="C11" s="35">
        <v>1500</v>
      </c>
      <c r="D11" s="36">
        <v>45829</v>
      </c>
      <c r="E11" s="37"/>
      <c r="F11" s="37"/>
      <c r="G11" s="35"/>
      <c r="H11" s="35"/>
      <c r="I11" s="36">
        <v>45885</v>
      </c>
      <c r="J11" s="37"/>
      <c r="K11" s="38"/>
    </row>
    <row r="12" spans="1:14" s="39" customFormat="1" x14ac:dyDescent="0.25">
      <c r="A12" s="39" t="s">
        <v>58</v>
      </c>
      <c r="B12" s="39" t="s">
        <v>57</v>
      </c>
      <c r="C12" s="40">
        <v>770</v>
      </c>
      <c r="D12" s="41">
        <v>45829</v>
      </c>
      <c r="E12" s="42"/>
      <c r="F12" s="42"/>
      <c r="G12" s="42"/>
      <c r="H12" s="40"/>
      <c r="I12" s="41">
        <v>45885</v>
      </c>
      <c r="J12" s="42"/>
      <c r="K12" s="43"/>
    </row>
    <row r="13" spans="1:14" x14ac:dyDescent="0.25">
      <c r="A13" s="39" t="s">
        <v>58</v>
      </c>
      <c r="B13" s="39" t="s">
        <v>57</v>
      </c>
      <c r="D13" s="41">
        <v>45798</v>
      </c>
      <c r="E13" s="12">
        <v>280</v>
      </c>
      <c r="F13" s="12">
        <v>47.51</v>
      </c>
      <c r="G13" s="12"/>
      <c r="I13" s="20">
        <v>45946</v>
      </c>
    </row>
    <row r="14" spans="1:14" x14ac:dyDescent="0.25">
      <c r="A14" t="s">
        <v>0</v>
      </c>
      <c r="C14" s="21">
        <f>SUBTOTAL(109,C3:C13)</f>
        <v>14335</v>
      </c>
      <c r="D14" s="20"/>
      <c r="E14" s="21"/>
      <c r="F14" s="21"/>
      <c r="G14" s="21">
        <f>SUM(G3:G13)</f>
        <v>0</v>
      </c>
      <c r="H14" s="21">
        <f>SUM(H3:H13)</f>
        <v>0</v>
      </c>
      <c r="I14" s="21"/>
      <c r="J14" s="21">
        <f>SUM(J3:J13)</f>
        <v>673.32999999999993</v>
      </c>
    </row>
    <row r="15" spans="1:14" x14ac:dyDescent="0.25">
      <c r="D15" s="20"/>
      <c r="I15" s="20"/>
      <c r="N15" s="3"/>
    </row>
    <row r="16" spans="1:14" x14ac:dyDescent="0.25">
      <c r="D16" s="20"/>
      <c r="I16" s="20"/>
    </row>
    <row r="17" spans="1:10" ht="15.75" thickBot="1" x14ac:dyDescent="0.3">
      <c r="A17" s="1" t="s">
        <v>34</v>
      </c>
      <c r="B17" s="9" t="s">
        <v>36</v>
      </c>
      <c r="C17" s="24">
        <v>46096</v>
      </c>
      <c r="D17" s="24">
        <v>46111</v>
      </c>
      <c r="E17" s="24"/>
      <c r="F17" s="24"/>
      <c r="G17" s="24"/>
      <c r="H17" s="24"/>
      <c r="I17" s="24"/>
    </row>
    <row r="18" spans="1:10" ht="15.75" thickBot="1" x14ac:dyDescent="0.3">
      <c r="A18" s="1" t="s">
        <v>35</v>
      </c>
      <c r="B18" s="57">
        <v>523</v>
      </c>
      <c r="C18" s="2"/>
      <c r="D18" s="2"/>
      <c r="E18" s="2">
        <v>285</v>
      </c>
      <c r="F18" s="2"/>
      <c r="G18" s="2"/>
      <c r="H18" s="2"/>
      <c r="I18" s="22"/>
      <c r="J18" s="23">
        <f>SUM(B18:I18)</f>
        <v>808</v>
      </c>
    </row>
    <row r="19" spans="1:10" ht="15.75" thickBot="1" x14ac:dyDescent="0.3">
      <c r="C19" s="11"/>
      <c r="D19" s="11"/>
      <c r="E19" s="55"/>
      <c r="F19" s="55"/>
      <c r="G19" s="2"/>
      <c r="H19" s="2"/>
      <c r="I19" s="20"/>
    </row>
    <row r="20" spans="1:10" ht="15.75" thickBot="1" x14ac:dyDescent="0.3">
      <c r="D20" s="12"/>
      <c r="H20" s="56" t="s">
        <v>37</v>
      </c>
      <c r="I20" s="25">
        <f>+H14+J14+G14</f>
        <v>673.32999999999993</v>
      </c>
    </row>
    <row r="21" spans="1:10" ht="15.75" thickBot="1" x14ac:dyDescent="0.3">
      <c r="D21" s="12"/>
      <c r="H21" s="26" t="s">
        <v>38</v>
      </c>
      <c r="I21" s="25">
        <f>+J18-H14-G14</f>
        <v>808</v>
      </c>
    </row>
    <row r="22" spans="1:10" ht="15.75" thickBot="1" x14ac:dyDescent="0.3">
      <c r="D22" s="20"/>
      <c r="H22" s="27" t="s">
        <v>54</v>
      </c>
      <c r="I22" s="25">
        <f>+I21-J14</f>
        <v>134.67000000000007</v>
      </c>
    </row>
    <row r="23" spans="1:10" x14ac:dyDescent="0.25">
      <c r="D23" s="12"/>
      <c r="I23" s="20"/>
    </row>
    <row r="24" spans="1:10" x14ac:dyDescent="0.25">
      <c r="D24" s="12"/>
      <c r="I24" s="20"/>
    </row>
    <row r="25" spans="1:10" x14ac:dyDescent="0.25">
      <c r="D25" s="12"/>
      <c r="I25" s="20"/>
    </row>
    <row r="26" spans="1:10" x14ac:dyDescent="0.25">
      <c r="D26" s="12"/>
      <c r="I26" s="20"/>
    </row>
    <row r="27" spans="1:10" x14ac:dyDescent="0.25">
      <c r="D27" s="12"/>
      <c r="I27" s="20"/>
    </row>
    <row r="28" spans="1:10" x14ac:dyDescent="0.25">
      <c r="D28" s="12"/>
      <c r="I28" s="20"/>
    </row>
    <row r="29" spans="1:10" x14ac:dyDescent="0.25">
      <c r="D29" s="12"/>
      <c r="I29" s="20"/>
    </row>
    <row r="30" spans="1:10" x14ac:dyDescent="0.25">
      <c r="D30" s="11"/>
      <c r="I30" s="20"/>
    </row>
    <row r="31" spans="1:10" x14ac:dyDescent="0.25">
      <c r="D31" s="20"/>
      <c r="I31" s="20"/>
    </row>
    <row r="32" spans="1:10" x14ac:dyDescent="0.25">
      <c r="D32" s="11"/>
      <c r="I32" s="20"/>
    </row>
    <row r="33" spans="4:9" x14ac:dyDescent="0.25">
      <c r="D33" s="11"/>
      <c r="I33" s="20"/>
    </row>
    <row r="34" spans="4:9" x14ac:dyDescent="0.25">
      <c r="D34" s="11"/>
      <c r="I34" s="20"/>
    </row>
    <row r="35" spans="4:9" x14ac:dyDescent="0.25">
      <c r="D35" s="11"/>
      <c r="I35" s="20"/>
    </row>
    <row r="36" spans="4:9" x14ac:dyDescent="0.25">
      <c r="D36" s="11"/>
      <c r="I36" s="20"/>
    </row>
    <row r="37" spans="4:9" x14ac:dyDescent="0.25">
      <c r="D37" s="11"/>
      <c r="I37" s="20"/>
    </row>
    <row r="38" spans="4:9" x14ac:dyDescent="0.25">
      <c r="D38" s="11"/>
      <c r="I38" s="20"/>
    </row>
    <row r="39" spans="4:9" x14ac:dyDescent="0.25">
      <c r="D39" s="11"/>
      <c r="I39" s="20"/>
    </row>
    <row r="40" spans="4:9" x14ac:dyDescent="0.25">
      <c r="D40" s="11"/>
      <c r="I40" s="20"/>
    </row>
    <row r="41" spans="4:9" x14ac:dyDescent="0.25">
      <c r="D41" s="20"/>
      <c r="I41" s="20"/>
    </row>
    <row r="42" spans="4:9" x14ac:dyDescent="0.25">
      <c r="D42" s="12"/>
      <c r="I42" s="20"/>
    </row>
    <row r="43" spans="4:9" x14ac:dyDescent="0.25">
      <c r="D43" s="12"/>
      <c r="I43" s="20"/>
    </row>
    <row r="44" spans="4:9" x14ac:dyDescent="0.25">
      <c r="D44" s="20"/>
      <c r="I44" s="20"/>
    </row>
    <row r="45" spans="4:9" x14ac:dyDescent="0.25">
      <c r="D45" s="20"/>
      <c r="I45" s="20"/>
    </row>
    <row r="46" spans="4:9" x14ac:dyDescent="0.25">
      <c r="D46" s="20"/>
      <c r="I46" s="20"/>
    </row>
    <row r="47" spans="4:9" x14ac:dyDescent="0.25">
      <c r="D47" s="20"/>
      <c r="I47" s="20"/>
    </row>
    <row r="48" spans="4:9" x14ac:dyDescent="0.25">
      <c r="D48" s="20"/>
      <c r="I48" s="20"/>
    </row>
    <row r="49" spans="4:9" x14ac:dyDescent="0.25">
      <c r="D49" s="20"/>
      <c r="I49" s="20"/>
    </row>
    <row r="50" spans="4:9" x14ac:dyDescent="0.25">
      <c r="D50" s="20"/>
      <c r="I50" s="20"/>
    </row>
    <row r="51" spans="4:9" x14ac:dyDescent="0.25">
      <c r="D51" s="20"/>
      <c r="I51" s="20"/>
    </row>
    <row r="52" spans="4:9" x14ac:dyDescent="0.25">
      <c r="D52" s="20"/>
      <c r="I52" s="20"/>
    </row>
    <row r="53" spans="4:9" x14ac:dyDescent="0.25">
      <c r="D53" s="20"/>
      <c r="I53" s="20"/>
    </row>
    <row r="54" spans="4:9" x14ac:dyDescent="0.25">
      <c r="D54" s="20"/>
      <c r="I54" s="20"/>
    </row>
    <row r="55" spans="4:9" x14ac:dyDescent="0.25">
      <c r="D55" s="20"/>
      <c r="I55" s="20"/>
    </row>
    <row r="56" spans="4:9" x14ac:dyDescent="0.25">
      <c r="D56" s="20"/>
      <c r="I56" s="20"/>
    </row>
    <row r="57" spans="4:9" x14ac:dyDescent="0.25">
      <c r="D57" s="20"/>
      <c r="I57" s="20"/>
    </row>
    <row r="58" spans="4:9" x14ac:dyDescent="0.25">
      <c r="D58" s="20"/>
      <c r="I58" s="20"/>
    </row>
    <row r="59" spans="4:9" x14ac:dyDescent="0.25">
      <c r="D59" s="20"/>
      <c r="I59" s="20"/>
    </row>
    <row r="60" spans="4:9" x14ac:dyDescent="0.25">
      <c r="D60" s="20"/>
      <c r="I60" s="20"/>
    </row>
    <row r="61" spans="4:9" x14ac:dyDescent="0.25">
      <c r="D61" s="20"/>
      <c r="I61" s="20"/>
    </row>
    <row r="62" spans="4:9" x14ac:dyDescent="0.25">
      <c r="D62" s="20"/>
      <c r="I62" s="20"/>
    </row>
    <row r="63" spans="4:9" x14ac:dyDescent="0.25">
      <c r="D63" s="20"/>
      <c r="I63" s="20"/>
    </row>
    <row r="64" spans="4:9" x14ac:dyDescent="0.25">
      <c r="D64" s="20"/>
      <c r="I64" s="20"/>
    </row>
    <row r="65" spans="4:9" x14ac:dyDescent="0.25">
      <c r="D65" s="20"/>
      <c r="I65" s="20"/>
    </row>
    <row r="66" spans="4:9" x14ac:dyDescent="0.25">
      <c r="D66" s="20"/>
      <c r="I66" s="20"/>
    </row>
    <row r="67" spans="4:9" x14ac:dyDescent="0.25">
      <c r="D67" s="20"/>
      <c r="I67" s="20"/>
    </row>
    <row r="68" spans="4:9" x14ac:dyDescent="0.25">
      <c r="D68" s="20"/>
      <c r="I68" s="20"/>
    </row>
    <row r="69" spans="4:9" x14ac:dyDescent="0.25">
      <c r="D69" s="20"/>
      <c r="I69" s="20"/>
    </row>
    <row r="70" spans="4:9" x14ac:dyDescent="0.25">
      <c r="D70" s="20"/>
      <c r="I70" s="20"/>
    </row>
    <row r="71" spans="4:9" x14ac:dyDescent="0.25">
      <c r="D71" s="20"/>
      <c r="I71" s="20"/>
    </row>
    <row r="72" spans="4:9" x14ac:dyDescent="0.25">
      <c r="D72" s="20"/>
      <c r="I72" s="20"/>
    </row>
    <row r="73" spans="4:9" x14ac:dyDescent="0.25">
      <c r="D73" s="20"/>
      <c r="I73" s="20"/>
    </row>
    <row r="74" spans="4:9" x14ac:dyDescent="0.25">
      <c r="D74" s="20"/>
      <c r="I74" s="20"/>
    </row>
    <row r="75" spans="4:9" x14ac:dyDescent="0.25">
      <c r="D75" s="20"/>
      <c r="I75" s="20"/>
    </row>
    <row r="76" spans="4:9" x14ac:dyDescent="0.25">
      <c r="D76" s="20"/>
      <c r="I76" s="20"/>
    </row>
    <row r="77" spans="4:9" x14ac:dyDescent="0.25">
      <c r="D77" s="20"/>
      <c r="I77" s="20"/>
    </row>
    <row r="78" spans="4:9" x14ac:dyDescent="0.25">
      <c r="D78" s="20"/>
      <c r="I78" s="20"/>
    </row>
    <row r="79" spans="4:9" x14ac:dyDescent="0.25">
      <c r="D79" s="20"/>
      <c r="I79" s="20"/>
    </row>
    <row r="80" spans="4:9" x14ac:dyDescent="0.25">
      <c r="D80" s="20"/>
      <c r="I80" s="20"/>
    </row>
    <row r="81" spans="4:9" x14ac:dyDescent="0.25">
      <c r="D81" s="20"/>
      <c r="I81" s="20"/>
    </row>
    <row r="82" spans="4:9" x14ac:dyDescent="0.25">
      <c r="D82" s="20"/>
      <c r="I82" s="20"/>
    </row>
    <row r="83" spans="4:9" x14ac:dyDescent="0.25">
      <c r="D83" s="20"/>
      <c r="I83" s="20"/>
    </row>
    <row r="84" spans="4:9" x14ac:dyDescent="0.25">
      <c r="D84" s="20"/>
      <c r="I84" s="20"/>
    </row>
    <row r="85" spans="4:9" x14ac:dyDescent="0.25">
      <c r="D85" s="20"/>
      <c r="I85" s="20"/>
    </row>
    <row r="86" spans="4:9" x14ac:dyDescent="0.25">
      <c r="D86" s="20"/>
      <c r="I86" s="20"/>
    </row>
    <row r="87" spans="4:9" x14ac:dyDescent="0.25">
      <c r="D87" s="20"/>
      <c r="I87" s="20"/>
    </row>
    <row r="88" spans="4:9" x14ac:dyDescent="0.25">
      <c r="D88" s="20"/>
      <c r="I88" s="20"/>
    </row>
    <row r="89" spans="4:9" x14ac:dyDescent="0.25">
      <c r="D89" s="20"/>
      <c r="I89" s="20"/>
    </row>
    <row r="90" spans="4:9" x14ac:dyDescent="0.25">
      <c r="D90" s="20"/>
      <c r="I90" s="20"/>
    </row>
    <row r="91" spans="4:9" x14ac:dyDescent="0.25">
      <c r="D91" s="20"/>
      <c r="I91" s="20"/>
    </row>
    <row r="92" spans="4:9" x14ac:dyDescent="0.25">
      <c r="D92" s="20"/>
      <c r="I92" s="20"/>
    </row>
    <row r="93" spans="4:9" x14ac:dyDescent="0.25">
      <c r="D93" s="20"/>
      <c r="I93" s="20"/>
    </row>
    <row r="94" spans="4:9" x14ac:dyDescent="0.25">
      <c r="D94" s="20"/>
      <c r="I94" s="20"/>
    </row>
    <row r="95" spans="4:9" x14ac:dyDescent="0.25">
      <c r="D95" s="20"/>
      <c r="I95" s="20"/>
    </row>
    <row r="96" spans="4:9" x14ac:dyDescent="0.25">
      <c r="D96" s="20"/>
      <c r="I96" s="20"/>
    </row>
    <row r="97" spans="4:9" x14ac:dyDescent="0.25">
      <c r="D97" s="20"/>
      <c r="I97" s="20"/>
    </row>
    <row r="98" spans="4:9" x14ac:dyDescent="0.25">
      <c r="D98" s="20"/>
      <c r="I98" s="20"/>
    </row>
    <row r="99" spans="4:9" x14ac:dyDescent="0.25">
      <c r="D99" s="20"/>
      <c r="I99" s="20"/>
    </row>
    <row r="100" spans="4:9" x14ac:dyDescent="0.25">
      <c r="D100" s="20"/>
      <c r="I100" s="20"/>
    </row>
    <row r="101" spans="4:9" x14ac:dyDescent="0.25">
      <c r="D101" s="20"/>
      <c r="I101" s="20"/>
    </row>
    <row r="102" spans="4:9" x14ac:dyDescent="0.25">
      <c r="D102" s="20"/>
      <c r="I102" s="20"/>
    </row>
    <row r="103" spans="4:9" x14ac:dyDescent="0.25">
      <c r="D103" s="20"/>
      <c r="I103" s="20"/>
    </row>
    <row r="104" spans="4:9" x14ac:dyDescent="0.25">
      <c r="D104" s="20"/>
      <c r="I104" s="20"/>
    </row>
    <row r="105" spans="4:9" x14ac:dyDescent="0.25">
      <c r="D105" s="20"/>
      <c r="I105" s="20"/>
    </row>
    <row r="106" spans="4:9" x14ac:dyDescent="0.25">
      <c r="D106" s="20"/>
      <c r="I106" s="20"/>
    </row>
    <row r="107" spans="4:9" x14ac:dyDescent="0.25">
      <c r="D107" s="20"/>
      <c r="I107" s="20"/>
    </row>
    <row r="108" spans="4:9" x14ac:dyDescent="0.25">
      <c r="D108" s="20"/>
      <c r="I108" s="20"/>
    </row>
    <row r="109" spans="4:9" x14ac:dyDescent="0.25">
      <c r="D109" s="20"/>
      <c r="I109" s="20"/>
    </row>
    <row r="110" spans="4:9" x14ac:dyDescent="0.25">
      <c r="D110" s="20"/>
      <c r="I110" s="20"/>
    </row>
    <row r="111" spans="4:9" x14ac:dyDescent="0.25">
      <c r="D111" s="20"/>
      <c r="I111" s="20"/>
    </row>
    <row r="112" spans="4:9" x14ac:dyDescent="0.25">
      <c r="D112" s="20"/>
      <c r="I112" s="20"/>
    </row>
    <row r="113" spans="4:9" x14ac:dyDescent="0.25">
      <c r="D113" s="20"/>
      <c r="I113" s="20"/>
    </row>
    <row r="114" spans="4:9" x14ac:dyDescent="0.25">
      <c r="D114" s="20"/>
      <c r="I114" s="20"/>
    </row>
    <row r="115" spans="4:9" x14ac:dyDescent="0.25">
      <c r="D115" s="20"/>
      <c r="I115" s="20"/>
    </row>
    <row r="116" spans="4:9" x14ac:dyDescent="0.25">
      <c r="D116" s="20"/>
      <c r="I116" s="20"/>
    </row>
    <row r="117" spans="4:9" x14ac:dyDescent="0.25">
      <c r="D117" s="20"/>
      <c r="I117" s="20"/>
    </row>
    <row r="118" spans="4:9" x14ac:dyDescent="0.25">
      <c r="D118" s="20"/>
      <c r="I118" s="20"/>
    </row>
    <row r="119" spans="4:9" x14ac:dyDescent="0.25">
      <c r="D119" s="20"/>
      <c r="I119" s="20"/>
    </row>
    <row r="120" spans="4:9" x14ac:dyDescent="0.25">
      <c r="D120" s="20"/>
      <c r="I120" s="20"/>
    </row>
    <row r="121" spans="4:9" x14ac:dyDescent="0.25">
      <c r="D121" s="20"/>
      <c r="I121" s="20"/>
    </row>
    <row r="122" spans="4:9" x14ac:dyDescent="0.25">
      <c r="D122" s="20"/>
      <c r="I122" s="20"/>
    </row>
    <row r="123" spans="4:9" x14ac:dyDescent="0.25">
      <c r="D123" s="20"/>
      <c r="I123" s="20"/>
    </row>
    <row r="124" spans="4:9" x14ac:dyDescent="0.25">
      <c r="D124" s="20"/>
      <c r="I124" s="20"/>
    </row>
    <row r="125" spans="4:9" x14ac:dyDescent="0.25">
      <c r="D125" s="20"/>
      <c r="I125" s="20"/>
    </row>
    <row r="126" spans="4:9" x14ac:dyDescent="0.25">
      <c r="I126" s="20"/>
    </row>
    <row r="127" spans="4:9" x14ac:dyDescent="0.25">
      <c r="I127" s="20"/>
    </row>
    <row r="128" spans="4:9" x14ac:dyDescent="0.25">
      <c r="I128" s="20"/>
    </row>
    <row r="129" spans="9:9" x14ac:dyDescent="0.25">
      <c r="I129" s="20"/>
    </row>
    <row r="130" spans="9:9" x14ac:dyDescent="0.25">
      <c r="I130" s="20"/>
    </row>
    <row r="131" spans="9:9" x14ac:dyDescent="0.25">
      <c r="I131" s="20"/>
    </row>
  </sheetData>
  <conditionalFormatting sqref="D1:D16">
    <cfRule type="timePeriod" dxfId="24" priority="37" timePeriod="nextMonth">
      <formula>AND(MONTH(D1)=MONTH(EDATE(TODAY(),0+1)),YEAR(D1)=YEAR(EDATE(TODAY(),0+1)))</formula>
    </cfRule>
    <cfRule type="timePeriod" dxfId="23" priority="38" timePeriod="thisMonth">
      <formula>AND(MONTH(D1)=MONTH(TODAY()),YEAR(D1)=YEAR(TODAY()))</formula>
    </cfRule>
    <cfRule type="timePeriod" dxfId="22" priority="39" timePeriod="lastMonth">
      <formula>AND(MONTH(D1)=MONTH(EDATE(TODAY(),0-1)),YEAR(D1)=YEAR(EDATE(TODAY(),0-1)))</formula>
    </cfRule>
  </conditionalFormatting>
  <conditionalFormatting sqref="D22:D29 D31 D41:D1048576">
    <cfRule type="timePeriod" dxfId="21" priority="1" timePeriod="nextMonth">
      <formula>AND(MONTH(D22)=MONTH(EDATE(TODAY(),0+1)),YEAR(D22)=YEAR(EDATE(TODAY(),0+1)))</formula>
    </cfRule>
    <cfRule type="timePeriod" dxfId="20" priority="2" timePeriod="thisMonth">
      <formula>AND(MONTH(D22)=MONTH(TODAY()),YEAR(D22)=YEAR(TODAY()))</formula>
    </cfRule>
    <cfRule type="timePeriod" dxfId="19" priority="3" timePeriod="lastMonth">
      <formula>AND(MONTH(D22)=MONTH(EDATE(TODAY(),0-1)),YEAR(D22)=YEAR(EDATE(TODAY(),0-1)))</formula>
    </cfRule>
  </conditionalFormatting>
  <conditionalFormatting sqref="I1:I1048576">
    <cfRule type="timePeriod" dxfId="18" priority="40" timePeriod="nextMonth">
      <formula>AND(MONTH(I1)=MONTH(EDATE(TODAY(),0+1)),YEAR(I1)=YEAR(EDATE(TODAY(),0+1)))</formula>
    </cfRule>
    <cfRule type="timePeriod" dxfId="17" priority="41" timePeriod="thisMonth">
      <formula>AND(MONTH(I1)=MONTH(TODAY()),YEAR(I1)=YEAR(TODAY()))</formula>
    </cfRule>
  </conditionalFormatting>
  <conditionalFormatting sqref="I21">
    <cfRule type="cellIs" dxfId="16" priority="45" operator="greaterThan">
      <formula>0</formula>
    </cfRule>
  </conditionalFormatting>
  <conditionalFormatting sqref="I21:I22">
    <cfRule type="cellIs" dxfId="15" priority="42" operator="lessThan">
      <formula>0</formula>
    </cfRule>
  </conditionalFormatting>
  <conditionalFormatting sqref="I22">
    <cfRule type="cellIs" dxfId="14" priority="43" operator="greater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522B-09DD-4490-9CA8-387DE173331A}">
  <dimension ref="A1:G62"/>
  <sheetViews>
    <sheetView tabSelected="1" workbookViewId="0">
      <selection activeCell="F9" sqref="F9"/>
    </sheetView>
  </sheetViews>
  <sheetFormatPr baseColWidth="10" defaultRowHeight="15" x14ac:dyDescent="0.25"/>
  <cols>
    <col min="1" max="1" width="10" style="10" customWidth="1"/>
    <col min="2" max="3" width="11.42578125" style="12"/>
    <col min="4" max="4" width="11.85546875" hidden="1" customWidth="1"/>
  </cols>
  <sheetData>
    <row r="1" spans="1:7" ht="30" x14ac:dyDescent="0.25">
      <c r="A1" s="45" t="s">
        <v>49</v>
      </c>
      <c r="B1" s="48" t="s">
        <v>52</v>
      </c>
      <c r="C1" s="48" t="s">
        <v>53</v>
      </c>
    </row>
    <row r="2" spans="1:7" x14ac:dyDescent="0.25">
      <c r="A2" s="47"/>
      <c r="B2" s="11">
        <v>0</v>
      </c>
      <c r="C2" s="11"/>
      <c r="D2" t="b">
        <f t="shared" ref="D2:D28" ca="1" si="0">AND(TEXT(A2,"mm-yyyy")=TEXT(TODAY()-DAY(TODAY()-1),"mm-yyyy"), C2&gt;=B2)</f>
        <v>0</v>
      </c>
    </row>
    <row r="3" spans="1:7" x14ac:dyDescent="0.25">
      <c r="A3" s="47">
        <v>46037</v>
      </c>
      <c r="B3" s="11">
        <v>75</v>
      </c>
      <c r="C3" s="11">
        <v>130</v>
      </c>
      <c r="D3" t="b">
        <f t="shared" ca="1" si="0"/>
        <v>0</v>
      </c>
    </row>
    <row r="4" spans="1:7" x14ac:dyDescent="0.25">
      <c r="A4" s="47">
        <v>46053</v>
      </c>
      <c r="B4" s="11">
        <v>70</v>
      </c>
      <c r="C4" s="11">
        <v>0</v>
      </c>
      <c r="D4" t="b">
        <f t="shared" ca="1" si="0"/>
        <v>0</v>
      </c>
    </row>
    <row r="5" spans="1:7" x14ac:dyDescent="0.25">
      <c r="A5" s="47">
        <v>46068</v>
      </c>
      <c r="B5" s="11">
        <v>75</v>
      </c>
      <c r="C5" s="11">
        <v>0</v>
      </c>
      <c r="D5" t="b">
        <f t="shared" ca="1" si="0"/>
        <v>0</v>
      </c>
    </row>
    <row r="6" spans="1:7" x14ac:dyDescent="0.25">
      <c r="A6" s="47">
        <v>46081</v>
      </c>
      <c r="B6" s="11">
        <v>70</v>
      </c>
      <c r="C6" s="11">
        <v>0</v>
      </c>
      <c r="D6" t="b">
        <f t="shared" ca="1" si="0"/>
        <v>0</v>
      </c>
    </row>
    <row r="7" spans="1:7" x14ac:dyDescent="0.25">
      <c r="A7" s="47">
        <v>46096</v>
      </c>
      <c r="B7" s="11">
        <v>75</v>
      </c>
      <c r="C7" s="11"/>
      <c r="D7" t="b">
        <f t="shared" ca="1" si="0"/>
        <v>0</v>
      </c>
      <c r="E7">
        <v>100</v>
      </c>
      <c r="F7">
        <v>50</v>
      </c>
    </row>
    <row r="8" spans="1:7" x14ac:dyDescent="0.25">
      <c r="A8" s="47">
        <v>46112</v>
      </c>
      <c r="B8" s="11">
        <v>70</v>
      </c>
      <c r="C8" s="11"/>
      <c r="D8" t="b">
        <f t="shared" ca="1" si="0"/>
        <v>0</v>
      </c>
      <c r="E8">
        <v>100</v>
      </c>
      <c r="F8">
        <v>0</v>
      </c>
    </row>
    <row r="9" spans="1:7" x14ac:dyDescent="0.25">
      <c r="A9" s="47">
        <v>46127</v>
      </c>
      <c r="B9" s="11">
        <v>75</v>
      </c>
      <c r="C9" s="11"/>
      <c r="D9" t="b">
        <f t="shared" ca="1" si="0"/>
        <v>0</v>
      </c>
      <c r="E9">
        <v>100</v>
      </c>
      <c r="F9">
        <v>50</v>
      </c>
    </row>
    <row r="10" spans="1:7" x14ac:dyDescent="0.25">
      <c r="A10" s="47">
        <v>46142</v>
      </c>
      <c r="B10" s="11">
        <v>70</v>
      </c>
      <c r="C10" s="11"/>
      <c r="D10" t="b">
        <f t="shared" ca="1" si="0"/>
        <v>0</v>
      </c>
      <c r="E10">
        <v>100</v>
      </c>
      <c r="F10">
        <v>0</v>
      </c>
    </row>
    <row r="11" spans="1:7" x14ac:dyDescent="0.25">
      <c r="A11" s="47">
        <v>46157</v>
      </c>
      <c r="B11" s="11">
        <v>75</v>
      </c>
      <c r="C11" s="11"/>
      <c r="D11" t="b">
        <f t="shared" ca="1" si="0"/>
        <v>0</v>
      </c>
      <c r="E11">
        <v>100</v>
      </c>
      <c r="F11">
        <v>50</v>
      </c>
    </row>
    <row r="12" spans="1:7" x14ac:dyDescent="0.25">
      <c r="A12" s="47">
        <v>46173</v>
      </c>
      <c r="B12" s="11">
        <v>70</v>
      </c>
      <c r="C12" s="11"/>
      <c r="D12" t="b">
        <f t="shared" ca="1" si="0"/>
        <v>0</v>
      </c>
      <c r="E12">
        <v>100</v>
      </c>
      <c r="F12">
        <v>0</v>
      </c>
    </row>
    <row r="13" spans="1:7" x14ac:dyDescent="0.25">
      <c r="A13" s="47">
        <v>46188</v>
      </c>
      <c r="B13" s="11">
        <v>75</v>
      </c>
      <c r="C13" s="11"/>
      <c r="D13" t="b">
        <f t="shared" ca="1" si="0"/>
        <v>0</v>
      </c>
      <c r="E13">
        <v>100</v>
      </c>
      <c r="F13">
        <v>50</v>
      </c>
      <c r="G13">
        <f>SUM(E7:F15)</f>
        <v>900</v>
      </c>
    </row>
    <row r="14" spans="1:7" x14ac:dyDescent="0.25">
      <c r="A14" s="47">
        <v>46203</v>
      </c>
      <c r="B14" s="11">
        <v>70</v>
      </c>
      <c r="C14" s="11"/>
      <c r="D14" t="b">
        <f t="shared" ca="1" si="0"/>
        <v>0</v>
      </c>
    </row>
    <row r="15" spans="1:7" x14ac:dyDescent="0.25">
      <c r="A15" s="47">
        <v>46218</v>
      </c>
      <c r="B15" s="11">
        <v>75</v>
      </c>
      <c r="C15" s="11"/>
      <c r="D15" t="b">
        <f t="shared" ca="1" si="0"/>
        <v>0</v>
      </c>
    </row>
    <row r="16" spans="1:7" x14ac:dyDescent="0.25">
      <c r="A16" s="47">
        <v>46234</v>
      </c>
      <c r="B16" s="11">
        <v>70</v>
      </c>
      <c r="C16" s="11"/>
      <c r="D16" t="b">
        <f t="shared" ca="1" si="0"/>
        <v>0</v>
      </c>
    </row>
    <row r="17" spans="1:4" x14ac:dyDescent="0.25">
      <c r="A17" s="47">
        <v>46249</v>
      </c>
      <c r="B17" s="11">
        <v>75</v>
      </c>
      <c r="C17" s="11"/>
      <c r="D17" t="b">
        <f t="shared" ca="1" si="0"/>
        <v>0</v>
      </c>
    </row>
    <row r="18" spans="1:4" x14ac:dyDescent="0.25">
      <c r="A18" s="47">
        <v>46265</v>
      </c>
      <c r="B18" s="11">
        <v>70</v>
      </c>
      <c r="C18" s="11"/>
      <c r="D18" t="b">
        <f t="shared" ca="1" si="0"/>
        <v>0</v>
      </c>
    </row>
    <row r="19" spans="1:4" x14ac:dyDescent="0.25">
      <c r="A19" s="47">
        <v>46280</v>
      </c>
      <c r="B19" s="11">
        <v>75</v>
      </c>
      <c r="C19" s="11"/>
      <c r="D19" t="b">
        <f t="shared" ca="1" si="0"/>
        <v>0</v>
      </c>
    </row>
    <row r="20" spans="1:4" x14ac:dyDescent="0.25">
      <c r="A20" s="47">
        <v>46295</v>
      </c>
      <c r="B20" s="11">
        <v>70</v>
      </c>
      <c r="C20" s="11"/>
      <c r="D20" t="b">
        <f t="shared" ca="1" si="0"/>
        <v>0</v>
      </c>
    </row>
    <row r="21" spans="1:4" x14ac:dyDescent="0.25">
      <c r="A21" s="47">
        <v>46310</v>
      </c>
      <c r="B21" s="11">
        <v>75</v>
      </c>
      <c r="C21" s="11"/>
      <c r="D21" t="b">
        <f t="shared" ca="1" si="0"/>
        <v>0</v>
      </c>
    </row>
    <row r="22" spans="1:4" x14ac:dyDescent="0.25">
      <c r="A22" s="47">
        <v>46326</v>
      </c>
      <c r="B22" s="11">
        <v>70</v>
      </c>
      <c r="C22" s="11"/>
      <c r="D22" t="b">
        <f t="shared" ca="1" si="0"/>
        <v>0</v>
      </c>
    </row>
    <row r="23" spans="1:4" x14ac:dyDescent="0.25">
      <c r="A23" s="47">
        <v>46341</v>
      </c>
      <c r="B23" s="11">
        <v>75</v>
      </c>
      <c r="C23" s="11"/>
      <c r="D23" t="b">
        <f t="shared" ca="1" si="0"/>
        <v>0</v>
      </c>
    </row>
    <row r="24" spans="1:4" x14ac:dyDescent="0.25">
      <c r="A24" s="47">
        <v>46356</v>
      </c>
      <c r="B24" s="11">
        <v>70</v>
      </c>
      <c r="C24" s="11"/>
      <c r="D24" t="b">
        <f t="shared" ca="1" si="0"/>
        <v>0</v>
      </c>
    </row>
    <row r="25" spans="1:4" x14ac:dyDescent="0.25">
      <c r="A25" s="47">
        <v>46371</v>
      </c>
      <c r="B25" s="11">
        <v>75</v>
      </c>
      <c r="C25" s="11"/>
      <c r="D25" t="b">
        <f t="shared" ca="1" si="0"/>
        <v>0</v>
      </c>
    </row>
    <row r="26" spans="1:4" x14ac:dyDescent="0.25">
      <c r="A26" s="46" t="s">
        <v>50</v>
      </c>
      <c r="B26" s="11">
        <v>250</v>
      </c>
      <c r="C26" s="11"/>
      <c r="D26" t="b">
        <f t="shared" ca="1" si="0"/>
        <v>0</v>
      </c>
    </row>
    <row r="27" spans="1:4" x14ac:dyDescent="0.25">
      <c r="A27" s="46" t="s">
        <v>51</v>
      </c>
      <c r="B27" s="11">
        <v>315</v>
      </c>
      <c r="C27" s="11"/>
      <c r="D27" t="b">
        <f t="shared" ca="1" si="0"/>
        <v>0</v>
      </c>
    </row>
    <row r="28" spans="1:4" x14ac:dyDescent="0.25">
      <c r="A28" s="47">
        <v>46387</v>
      </c>
      <c r="B28" s="11">
        <v>70</v>
      </c>
      <c r="C28" s="49"/>
      <c r="D28" t="b">
        <f t="shared" ca="1" si="0"/>
        <v>0</v>
      </c>
    </row>
    <row r="29" spans="1:4" x14ac:dyDescent="0.25">
      <c r="A29" s="47">
        <v>46402</v>
      </c>
      <c r="B29" s="11">
        <v>75</v>
      </c>
      <c r="C29" s="11"/>
      <c r="D29" t="b">
        <f t="shared" ref="D29:D54" ca="1" si="1">AND(TEXT(A29,"mm-yyyy")=TEXT(TODAY()-DAY(TODAY()-1),"mm-yyyy"), C29&gt;=B29)</f>
        <v>0</v>
      </c>
    </row>
    <row r="30" spans="1:4" x14ac:dyDescent="0.25">
      <c r="A30" s="47">
        <v>46418</v>
      </c>
      <c r="B30" s="11">
        <v>70</v>
      </c>
      <c r="C30" s="11"/>
      <c r="D30" t="b">
        <f t="shared" ca="1" si="1"/>
        <v>0</v>
      </c>
    </row>
    <row r="31" spans="1:4" x14ac:dyDescent="0.25">
      <c r="A31" s="47">
        <v>46433</v>
      </c>
      <c r="B31" s="11">
        <v>75</v>
      </c>
      <c r="C31" s="11"/>
      <c r="D31" t="b">
        <f t="shared" ca="1" si="1"/>
        <v>0</v>
      </c>
    </row>
    <row r="32" spans="1:4" x14ac:dyDescent="0.25">
      <c r="A32" s="47">
        <v>46446</v>
      </c>
      <c r="B32" s="11">
        <v>70</v>
      </c>
      <c r="C32" s="11"/>
      <c r="D32" t="b">
        <f t="shared" ca="1" si="1"/>
        <v>0</v>
      </c>
    </row>
    <row r="33" spans="1:4" x14ac:dyDescent="0.25">
      <c r="A33" s="47">
        <v>46461</v>
      </c>
      <c r="B33" s="11">
        <v>75</v>
      </c>
      <c r="C33" s="11"/>
      <c r="D33" t="b">
        <f t="shared" ca="1" si="1"/>
        <v>0</v>
      </c>
    </row>
    <row r="34" spans="1:4" x14ac:dyDescent="0.25">
      <c r="A34" s="47">
        <v>46477</v>
      </c>
      <c r="B34" s="11">
        <v>70</v>
      </c>
      <c r="C34" s="11"/>
      <c r="D34" t="b">
        <f t="shared" ca="1" si="1"/>
        <v>0</v>
      </c>
    </row>
    <row r="35" spans="1:4" x14ac:dyDescent="0.25">
      <c r="A35" s="47">
        <v>46492</v>
      </c>
      <c r="B35" s="11">
        <v>75</v>
      </c>
      <c r="C35" s="11"/>
      <c r="D35" t="b">
        <f t="shared" ca="1" si="1"/>
        <v>0</v>
      </c>
    </row>
    <row r="36" spans="1:4" x14ac:dyDescent="0.25">
      <c r="A36" s="47">
        <v>46507</v>
      </c>
      <c r="B36" s="11">
        <v>70</v>
      </c>
      <c r="C36" s="11"/>
      <c r="D36" t="b">
        <f t="shared" ca="1" si="1"/>
        <v>0</v>
      </c>
    </row>
    <row r="37" spans="1:4" x14ac:dyDescent="0.25">
      <c r="A37" s="47">
        <v>46522</v>
      </c>
      <c r="B37" s="11">
        <v>75</v>
      </c>
      <c r="C37" s="11"/>
      <c r="D37" t="b">
        <f t="shared" ca="1" si="1"/>
        <v>0</v>
      </c>
    </row>
    <row r="38" spans="1:4" x14ac:dyDescent="0.25">
      <c r="A38" s="47">
        <v>46538</v>
      </c>
      <c r="B38" s="11">
        <v>70</v>
      </c>
      <c r="C38" s="11"/>
      <c r="D38" t="b">
        <f t="shared" ca="1" si="1"/>
        <v>0</v>
      </c>
    </row>
    <row r="39" spans="1:4" x14ac:dyDescent="0.25">
      <c r="A39" s="47">
        <v>46553</v>
      </c>
      <c r="B39" s="11">
        <v>75</v>
      </c>
      <c r="C39" s="11"/>
      <c r="D39" t="b">
        <f t="shared" ca="1" si="1"/>
        <v>0</v>
      </c>
    </row>
    <row r="40" spans="1:4" x14ac:dyDescent="0.25">
      <c r="A40" s="47">
        <v>46568</v>
      </c>
      <c r="B40" s="11">
        <v>70</v>
      </c>
      <c r="C40" s="11"/>
      <c r="D40" t="b">
        <f t="shared" ca="1" si="1"/>
        <v>0</v>
      </c>
    </row>
    <row r="41" spans="1:4" x14ac:dyDescent="0.25">
      <c r="A41" s="47">
        <v>46583</v>
      </c>
      <c r="B41" s="11">
        <v>75</v>
      </c>
      <c r="C41" s="11"/>
      <c r="D41" t="b">
        <f t="shared" ca="1" si="1"/>
        <v>0</v>
      </c>
    </row>
    <row r="42" spans="1:4" x14ac:dyDescent="0.25">
      <c r="A42" s="47">
        <v>46599</v>
      </c>
      <c r="B42" s="11">
        <v>70</v>
      </c>
      <c r="C42" s="11"/>
      <c r="D42" t="b">
        <f t="shared" ca="1" si="1"/>
        <v>0</v>
      </c>
    </row>
    <row r="43" spans="1:4" x14ac:dyDescent="0.25">
      <c r="A43" s="47">
        <v>46614</v>
      </c>
      <c r="B43" s="11">
        <v>75</v>
      </c>
      <c r="C43" s="11"/>
      <c r="D43" t="b">
        <f t="shared" ca="1" si="1"/>
        <v>0</v>
      </c>
    </row>
    <row r="44" spans="1:4" x14ac:dyDescent="0.25">
      <c r="A44" s="47">
        <v>46630</v>
      </c>
      <c r="B44" s="11">
        <v>70</v>
      </c>
      <c r="C44" s="11"/>
      <c r="D44" t="b">
        <f t="shared" ca="1" si="1"/>
        <v>0</v>
      </c>
    </row>
    <row r="45" spans="1:4" x14ac:dyDescent="0.25">
      <c r="A45" s="47">
        <v>46645</v>
      </c>
      <c r="B45" s="11">
        <v>75</v>
      </c>
      <c r="C45" s="11"/>
      <c r="D45" t="b">
        <f t="shared" ca="1" si="1"/>
        <v>0</v>
      </c>
    </row>
    <row r="46" spans="1:4" x14ac:dyDescent="0.25">
      <c r="A46" s="47">
        <v>46660</v>
      </c>
      <c r="B46" s="11">
        <v>70</v>
      </c>
      <c r="C46" s="11"/>
      <c r="D46" t="b">
        <f t="shared" ca="1" si="1"/>
        <v>0</v>
      </c>
    </row>
    <row r="47" spans="1:4" x14ac:dyDescent="0.25">
      <c r="A47" s="47">
        <v>46675</v>
      </c>
      <c r="B47" s="11">
        <v>75</v>
      </c>
      <c r="C47" s="11"/>
      <c r="D47" t="b">
        <f t="shared" ca="1" si="1"/>
        <v>0</v>
      </c>
    </row>
    <row r="48" spans="1:4" x14ac:dyDescent="0.25">
      <c r="A48" s="47">
        <v>46691</v>
      </c>
      <c r="B48" s="11">
        <v>70</v>
      </c>
      <c r="C48" s="11"/>
      <c r="D48" t="b">
        <f t="shared" ca="1" si="1"/>
        <v>0</v>
      </c>
    </row>
    <row r="49" spans="1:4" x14ac:dyDescent="0.25">
      <c r="A49" s="47">
        <v>46706</v>
      </c>
      <c r="B49" s="11">
        <v>75</v>
      </c>
      <c r="C49" s="11"/>
      <c r="D49" t="b">
        <f t="shared" ca="1" si="1"/>
        <v>0</v>
      </c>
    </row>
    <row r="50" spans="1:4" x14ac:dyDescent="0.25">
      <c r="A50" s="47">
        <v>46721</v>
      </c>
      <c r="B50" s="11">
        <v>70</v>
      </c>
      <c r="C50" s="11"/>
      <c r="D50" t="b">
        <f t="shared" ca="1" si="1"/>
        <v>0</v>
      </c>
    </row>
    <row r="51" spans="1:4" x14ac:dyDescent="0.25">
      <c r="A51" s="47">
        <v>46736</v>
      </c>
      <c r="B51" s="11">
        <v>75</v>
      </c>
      <c r="C51" s="11"/>
      <c r="D51" t="b">
        <f t="shared" ca="1" si="1"/>
        <v>0</v>
      </c>
    </row>
    <row r="52" spans="1:4" x14ac:dyDescent="0.25">
      <c r="A52" s="46" t="s">
        <v>50</v>
      </c>
      <c r="B52" s="11">
        <v>250</v>
      </c>
      <c r="C52" s="11"/>
      <c r="D52" t="b">
        <f t="shared" ca="1" si="1"/>
        <v>0</v>
      </c>
    </row>
    <row r="53" spans="1:4" x14ac:dyDescent="0.25">
      <c r="A53" s="46" t="s">
        <v>51</v>
      </c>
      <c r="B53" s="11">
        <v>315</v>
      </c>
      <c r="C53" s="11"/>
      <c r="D53" t="b">
        <f t="shared" ca="1" si="1"/>
        <v>0</v>
      </c>
    </row>
    <row r="54" spans="1:4" ht="15.75" thickBot="1" x14ac:dyDescent="0.3">
      <c r="A54" s="47">
        <v>46752</v>
      </c>
      <c r="B54" s="11">
        <v>70</v>
      </c>
      <c r="C54" s="49"/>
      <c r="D54" t="b">
        <f t="shared" ca="1" si="1"/>
        <v>0</v>
      </c>
    </row>
    <row r="55" spans="1:4" ht="15.75" thickBot="1" x14ac:dyDescent="0.3">
      <c r="B55" s="50">
        <f>SUM(B2:B54)</f>
        <v>4610</v>
      </c>
      <c r="C55" s="51">
        <f>SUM(C2:C54)</f>
        <v>130</v>
      </c>
    </row>
    <row r="56" spans="1:4" ht="15.75" thickBot="1" x14ac:dyDescent="0.3">
      <c r="B56" s="3"/>
      <c r="C56" s="3"/>
    </row>
    <row r="57" spans="1:4" ht="15.75" thickBot="1" x14ac:dyDescent="0.3">
      <c r="B57" s="60">
        <f ca="1">IFERROR(SUMIFS(C2:C54,A2:A54,"&lt;="&amp;TODAY()),0)-IFERROR(SUMIFS(B2:B54,A2:A54,"&lt;="&amp;TODAY()),0)</f>
        <v>-160</v>
      </c>
      <c r="C57" s="61"/>
    </row>
    <row r="58" spans="1:4" x14ac:dyDescent="0.25">
      <c r="B58" s="59"/>
      <c r="C58" s="3"/>
    </row>
    <row r="59" spans="1:4" x14ac:dyDescent="0.25">
      <c r="B59"/>
      <c r="C59" s="3"/>
    </row>
    <row r="60" spans="1:4" x14ac:dyDescent="0.25">
      <c r="B60" s="3"/>
      <c r="C60" s="3"/>
    </row>
    <row r="61" spans="1:4" x14ac:dyDescent="0.25">
      <c r="B61" s="3"/>
      <c r="C61" s="3"/>
    </row>
    <row r="62" spans="1:4" x14ac:dyDescent="0.25">
      <c r="B62" s="3"/>
      <c r="C62" s="3"/>
    </row>
  </sheetData>
  <mergeCells count="1">
    <mergeCell ref="B57:C57"/>
  </mergeCells>
  <conditionalFormatting sqref="B57:C57">
    <cfRule type="cellIs" dxfId="2" priority="1" operator="lessThan">
      <formula>0</formula>
    </cfRule>
    <cfRule type="cellIs" dxfId="1" priority="2" operator="greaterThan">
      <formula>0</formula>
    </cfRule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Hoja2</vt:lpstr>
      <vt:lpstr>Hoja3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 SV</dc:creator>
  <cp:lastModifiedBy>Luis Vasquez</cp:lastModifiedBy>
  <cp:lastPrinted>2025-04-01T02:16:43Z</cp:lastPrinted>
  <dcterms:created xsi:type="dcterms:W3CDTF">2024-09-09T17:55:09Z</dcterms:created>
  <dcterms:modified xsi:type="dcterms:W3CDTF">2026-03-06T00:46:50Z</dcterms:modified>
</cp:coreProperties>
</file>