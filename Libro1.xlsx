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B7C7CB13-F352-44C2-BC9A-4A8599CDE459}" xr6:coauthVersionLast="47" xr6:coauthVersionMax="47" xr10:uidLastSave="{00000000-0000-0000-0000-000000000000}"/>
  <bookViews>
    <workbookView xWindow="-120" yWindow="-120" windowWidth="29040" windowHeight="1572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3" l="1"/>
  <c r="E14" i="3"/>
  <c r="H14" i="3"/>
  <c r="C14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<sst xmlns="http://schemas.openxmlformats.org/spreadsheetml/2006/main" count="82" uniqueCount="61">
  <si>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</si>
  <si>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</si>
  <si>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</si>
  <si>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</si>
  <si>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</si>
  <si>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</si>
  <si>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</si>
  <si>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</si>
  <si>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</si>
  <si>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</si>
  <si>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</si>
  <si>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</si>
  <si>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</si>
  <si>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</si>
  <si>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</si>
  <si>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</si>
  <si>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</si>
  <si>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</si>
  <si>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</si>
  <si>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</si>
  <si>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</si>
  <si>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</si>
  <si>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</si>
  <si>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</si>
  <si>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</si>
  <si>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</si>
  <si>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</si>
  <si>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</si>
  <si>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</si>
  <si>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</si>
  <si>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</si>
  <si>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</si>
  <si>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</si>
  <si>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</si>
  <si>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</si>
  <si>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</si>
  <si>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</si>
  <si>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</si>
  <si>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</si>
  <si>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</si>
  <si>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</si>
  <si>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</si>
  <si>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</si>
  <si>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</si>
  <si>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</si>
  <si>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</si>
  <si>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</si>
  <si>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</si>
  <si>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</si>
  <si>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</si>
  <si>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</si>
  <si>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</si>
  <si>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</si>
  <si>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</si>
  <si>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</si>
  <si>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</si>
  <si>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</si>
  <si>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</si>
  <si>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ahrro</t>
  </si>
  <si>
    <t>COM</t>
  </si>
  <si>
    <t>Tasa Cero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</si>
</sst>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B16" sqref="B16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</cols>
  <sheetData>
    <row r="1" spans="2:8" x14ac:dyDescent="0.25">
      <c r="B1" s="13" t="s">
        <v>14</v>
      </c>
      <c r="C1" s="13"/>
      <c r="D1" s="13">
        <v>15</v>
      </c>
      <c r="F1" s="13">
        <v>30</v>
      </c>
    </row>
    <row r="2" spans="2:8" x14ac:dyDescent="0.25">
      <c r="B2" s="9" t="s">
        <v>2</v>
      </c>
      <c r="C2" s="9" t="s">
        <v>20</v>
      </c>
      <c r="D2" s="8">
        <v>60</v>
      </c>
      <c r="F2" s="8">
        <v>60</v>
      </c>
    </row>
    <row r="3" spans="2:8" x14ac:dyDescent="0.25">
      <c r="B3" s="9" t="s">
        <v>3</v>
      </c>
      <c r="C3" s="9" t="s">
        <v>40</v>
      </c>
      <c r="D3" s="8">
        <v>50</v>
      </c>
      <c r="F3" s="8">
        <v>50</v>
      </c>
    </row>
    <row r="4" spans="2:8" x14ac:dyDescent="0.25">
      <c r="B4" s="9" t="s">
        <v>4</v>
      </c>
      <c r="C4" s="9" t="s">
        <v>20</v>
      </c>
      <c r="D4" s="8">
        <v>10</v>
      </c>
      <c r="F4" s="8">
        <v>10</v>
      </c>
    </row>
    <row r="5" spans="2:8" x14ac:dyDescent="0.25">
      <c r="B5" s="9" t="s">
        <v>5</v>
      </c>
      <c r="C5" s="9" t="s">
        <v>20</v>
      </c>
      <c r="D5" s="8">
        <v>20</v>
      </c>
      <c r="F5" s="8">
        <v>20</v>
      </c>
    </row>
    <row r="6" spans="2:8" x14ac:dyDescent="0.25">
      <c r="B6" s="9" t="s">
        <v>6</v>
      </c>
      <c r="C6" s="9" t="s">
        <v>40</v>
      </c>
      <c r="D6" s="8">
        <v>60</v>
      </c>
      <c r="F6" s="8">
        <v>60</v>
      </c>
    </row>
    <row r="7" spans="2:8" x14ac:dyDescent="0.25">
      <c r="B7" s="9" t="s">
        <v>17</v>
      </c>
      <c r="C7" s="9" t="s">
        <v>43</v>
      </c>
      <c r="D7" s="8">
        <v>100</v>
      </c>
      <c r="F7" s="8">
        <v>100</v>
      </c>
    </row>
    <row r="8" spans="2:8" x14ac:dyDescent="0.25">
      <c r="B8" t="s">
        <v>7</v>
      </c>
      <c r="C8" t="s">
        <v>43</v>
      </c>
      <c r="D8" s="57">
        <v>95</v>
      </c>
    </row>
    <row r="9" spans="2:8" x14ac:dyDescent="0.25">
      <c r="B9" t="s">
        <v>18</v>
      </c>
      <c r="C9" t="s">
        <v>40</v>
      </c>
      <c r="F9">
        <v>10</v>
      </c>
    </row>
    <row r="10" spans="2:8" x14ac:dyDescent="0.25">
      <c r="B10" t="s">
        <v>16</v>
      </c>
      <c r="C10" t="s">
        <v>41</v>
      </c>
    </row>
    <row r="11" spans="2:8" x14ac:dyDescent="0.25">
      <c r="B11" t="s">
        <v>8</v>
      </c>
      <c r="C11" t="s">
        <v>42</v>
      </c>
      <c r="F11">
        <v>25</v>
      </c>
    </row>
    <row r="12" spans="2:8" x14ac:dyDescent="0.25">
      <c r="B12" t="s">
        <v>9</v>
      </c>
      <c r="C12" t="s">
        <v>42</v>
      </c>
      <c r="D12">
        <v>15</v>
      </c>
      <c r="F12">
        <v>5</v>
      </c>
      <c r="H12">
        <v>8286917</v>
      </c>
    </row>
    <row r="13" spans="2:8" x14ac:dyDescent="0.25">
      <c r="B13" t="s">
        <v>10</v>
      </c>
      <c r="C13" t="s">
        <v>41</v>
      </c>
    </row>
    <row r="14" spans="2:8" x14ac:dyDescent="0.25">
      <c r="B14" t="s">
        <v>15</v>
      </c>
      <c r="C14" t="s">
        <v>42</v>
      </c>
    </row>
    <row r="15" spans="2:8" x14ac:dyDescent="0.25">
      <c r="B15" t="s">
        <v>60</v>
      </c>
      <c r="C15" t="s">
        <v>41</v>
      </c>
      <c r="D15">
        <v>48</v>
      </c>
    </row>
    <row r="17" spans="2:6" x14ac:dyDescent="0.25">
      <c r="B17" s="7" t="s">
        <v>11</v>
      </c>
      <c r="C17" s="7"/>
      <c r="D17" s="7">
        <f>SUM(D2:D16)</f>
        <v>458</v>
      </c>
      <c r="F17" s="7">
        <f>SUM(F2:F16)</f>
        <v>340</v>
      </c>
    </row>
    <row r="18" spans="2:6" x14ac:dyDescent="0.25">
      <c r="B18" s="6" t="s">
        <v>12</v>
      </c>
      <c r="C18" s="6"/>
      <c r="D18" s="6">
        <f>250+250</f>
        <v>500</v>
      </c>
      <c r="F18" s="6">
        <v>448</v>
      </c>
    </row>
    <row r="19" spans="2:6" x14ac:dyDescent="0.25">
      <c r="B19" s="5" t="s">
        <v>13</v>
      </c>
      <c r="C19" s="5"/>
      <c r="D19" s="5">
        <f>D18-D17</f>
        <v>42</v>
      </c>
      <c r="F19" s="5">
        <f>F18-F17</f>
        <v>108</v>
      </c>
    </row>
    <row r="20" spans="2:6" x14ac:dyDescent="0.25">
      <c r="D20" t="s">
        <v>47</v>
      </c>
    </row>
    <row r="37" ht="30.75" customHeight="1" x14ac:dyDescent="0.25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zoomScale="109" workbookViewId="0">
      <selection activeCell="C18" sqref="C18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54</v>
      </c>
      <c r="H2" s="27" t="s">
        <v>23</v>
      </c>
      <c r="I2" s="14" t="s">
        <v>22</v>
      </c>
      <c r="J2" s="28" t="s">
        <v>1</v>
      </c>
      <c r="K2" s="31" t="s">
        <v>45</v>
      </c>
    </row>
    <row r="3" spans="1:14" s="51" customFormat="1" x14ac:dyDescent="0.25">
      <c r="A3" s="51" t="s">
        <v>39</v>
      </c>
      <c r="B3" s="51" t="s">
        <v>31</v>
      </c>
      <c r="C3" s="32">
        <v>2100</v>
      </c>
      <c r="D3" s="52">
        <v>45815</v>
      </c>
      <c r="E3" s="43"/>
      <c r="F3" s="43"/>
      <c r="G3" s="32"/>
      <c r="H3" s="43"/>
      <c r="I3" s="52">
        <v>46204</v>
      </c>
      <c r="J3" s="43"/>
      <c r="K3" s="53"/>
    </row>
    <row r="4" spans="1:14" s="33" customFormat="1" x14ac:dyDescent="0.25">
      <c r="A4" s="33" t="s">
        <v>55</v>
      </c>
      <c r="B4" s="33" t="s">
        <v>24</v>
      </c>
      <c r="C4" s="34">
        <v>700</v>
      </c>
      <c r="D4" s="35">
        <v>45817</v>
      </c>
      <c r="E4" s="36"/>
      <c r="F4" s="36"/>
      <c r="G4" s="34"/>
      <c r="H4" s="34"/>
      <c r="I4" s="35">
        <v>45872</v>
      </c>
      <c r="J4" s="36"/>
      <c r="K4" s="37"/>
    </row>
    <row r="5" spans="1:14" x14ac:dyDescent="0.25">
      <c r="A5" t="s">
        <v>55</v>
      </c>
      <c r="B5" t="s">
        <v>25</v>
      </c>
      <c r="C5" s="3">
        <v>2000</v>
      </c>
      <c r="D5" s="20">
        <v>45817</v>
      </c>
      <c r="H5" s="12"/>
      <c r="I5" s="20">
        <v>46207</v>
      </c>
      <c r="J5" s="12">
        <v>262.74</v>
      </c>
      <c r="N5" s="4"/>
    </row>
    <row r="6" spans="1:14" s="29" customFormat="1" x14ac:dyDescent="0.25">
      <c r="A6"/>
      <c r="B6" t="s">
        <v>56</v>
      </c>
      <c r="C6" s="3">
        <v>840</v>
      </c>
      <c r="D6" s="20">
        <v>45817</v>
      </c>
      <c r="E6" s="12"/>
      <c r="F6" s="12"/>
      <c r="G6" s="12"/>
      <c r="H6" s="12"/>
      <c r="I6" s="20">
        <v>46209</v>
      </c>
      <c r="J6" s="12">
        <v>94.94</v>
      </c>
      <c r="K6" s="30"/>
    </row>
    <row r="7" spans="1:14" x14ac:dyDescent="0.25">
      <c r="A7" t="s">
        <v>32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38</v>
      </c>
      <c r="B8" s="33" t="s">
        <v>30</v>
      </c>
      <c r="C8" s="34">
        <v>1600</v>
      </c>
      <c r="D8" s="35">
        <v>45822</v>
      </c>
      <c r="E8" s="36"/>
      <c r="F8" s="36"/>
      <c r="G8" s="34"/>
      <c r="H8" s="34"/>
      <c r="I8" s="35">
        <v>45877</v>
      </c>
      <c r="J8" s="36"/>
      <c r="K8" s="37"/>
    </row>
    <row r="9" spans="1:14" s="51" customFormat="1" x14ac:dyDescent="0.25">
      <c r="A9" s="51" t="s">
        <v>29</v>
      </c>
      <c r="B9" s="51" t="s">
        <v>25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29</v>
      </c>
      <c r="B10" t="s">
        <v>46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29</v>
      </c>
      <c r="B11" s="33" t="s">
        <v>44</v>
      </c>
      <c r="C11" s="34">
        <v>1500</v>
      </c>
      <c r="D11" s="35">
        <v>45829</v>
      </c>
      <c r="E11" s="36"/>
      <c r="F11" s="36"/>
      <c r="G11" s="34"/>
      <c r="H11" s="34"/>
      <c r="I11" s="35">
        <v>45885</v>
      </c>
      <c r="J11" s="36"/>
      <c r="K11" s="37"/>
    </row>
    <row r="12" spans="1:14" s="38" customFormat="1" x14ac:dyDescent="0.25">
      <c r="A12" s="38" t="s">
        <v>57</v>
      </c>
      <c r="B12" s="38" t="s">
        <v>56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57</v>
      </c>
      <c r="B13" s="38" t="s">
        <v>56</v>
      </c>
      <c r="D13" s="40">
        <v>45798</v>
      </c>
      <c r="E13" s="12">
        <v>46.42</v>
      </c>
      <c r="G13" s="12"/>
      <c r="I13" s="20">
        <v>45946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SUM(SUBTOTAL(109,E3:E13)+F13)</f>
        <v>46.42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357.68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33</v>
      </c>
      <c r="B17" s="9" t="s">
        <v>35</v>
      </c>
      <c r="C17" s="23">
        <v>46218</v>
      </c>
      <c r="D17" s="23" t="s">
        <v>58</v>
      </c>
      <c r="E17" s="23">
        <v>46233</v>
      </c>
      <c r="F17" s="23" t="s">
        <v>58</v>
      </c>
      <c r="G17" s="23" t="s">
        <v>59</v>
      </c>
      <c r="H17" s="23"/>
      <c r="I17" s="23"/>
    </row>
    <row r="18" spans="1:11" ht="15.75" thickBot="1" x14ac:dyDescent="0.3">
      <c r="A18" s="1" t="s">
        <v>34</v>
      </c>
      <c r="B18" s="56">
        <v>15</v>
      </c>
      <c r="C18" s="2">
        <v>42</v>
      </c>
      <c r="D18" s="59">
        <v>100</v>
      </c>
      <c r="E18" s="59">
        <v>108</v>
      </c>
      <c r="F18" s="2">
        <v>100</v>
      </c>
      <c r="G18" s="59"/>
      <c r="H18" s="2"/>
      <c r="I18" s="2"/>
      <c r="J18" s="22">
        <f>SUM(B18:I18)</f>
        <v>365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36</v>
      </c>
      <c r="I20" s="24">
        <f>+H14+J14+G14</f>
        <v>357.68</v>
      </c>
    </row>
    <row r="21" spans="1:11" ht="15.75" thickBot="1" x14ac:dyDescent="0.3">
      <c r="D21" s="12"/>
      <c r="H21" s="25" t="s">
        <v>37</v>
      </c>
      <c r="I21" s="24">
        <f>+J18-H14-G14</f>
        <v>365</v>
      </c>
    </row>
    <row r="22" spans="1:11" ht="15.75" thickBot="1" x14ac:dyDescent="0.3">
      <c r="D22" s="20"/>
      <c r="H22" s="26" t="s">
        <v>53</v>
      </c>
      <c r="I22" s="24">
        <f>+I21-J14</f>
        <v>7.3199999999999932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47" workbookViewId="0">
      <selection activeCell="F11" sqref="F11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48</v>
      </c>
      <c r="B1" s="47" t="s">
        <v>51</v>
      </c>
      <c r="C1" s="47" t="s">
        <v>52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/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/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/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/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/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/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49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50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49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50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550</v>
      </c>
    </row>
    <row r="56" spans="1:4" ht="15.75" thickBot="1" x14ac:dyDescent="0.3">
      <c r="B56" s="3"/>
      <c r="C56" s="3"/>
    </row>
    <row r="57" spans="1:4" ht="15.75" thickBot="1" x14ac:dyDescent="0.3">
      <c r="B57" s="60">
        <f ca="1">IFERROR(SUMIFS(C2:C54,A2:A54,"&lt;="&amp;TODAY()),0)-IFERROR(SUMIFS(B2:B54,A2:A54,"&lt;="&amp;TODAY()),0)</f>
        <v>-320</v>
      </c>
      <c r="C57" s="61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2026-07-07T20:45:53Z</dcterms:modified>
</cp:coreProperties>
</file>