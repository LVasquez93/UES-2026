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2379773D-322D-4870-8881-57E929B9F88A}" xr6:coauthVersionLast="47" xr6:coauthVersionMax="47" xr10:uidLastSave="{00000000-0000-0000-0000-000000000000}"/>
  <bookViews>
    <workbookView xWindow="-120" yWindow="-120" windowWidth="20640" windowHeight="1116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4" l="1"/>
  <c r="B59" i="4"/>
  <c r="B58" i="4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C14" i="3"/>
  <c r="J18" i="3"/>
  <c r="H14" i="3"/>
  <c r="G14" i="3"/>
  <c r="F17" i="2"/>
  <c r="I21" i="3" l="1"/>
  <c r="J14" i="3"/>
  <c r="I20" i="3" s="1"/>
  <c r="F19" i="2"/>
  <c r="I22" i="3" l="1"/>
  <c r="D17" i="2" l="1"/>
  <c r="D19" i="2" s="1"/>
</calcChain>
</file>

<file path=xl/sharedStrings.xml><?xml version="1.0" encoding="utf-8"?>
<sst xmlns="http://schemas.openxmlformats.org/spreadsheetml/2006/main" count="81" uniqueCount="61">
  <si>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</si>
  <si>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</si>
  <si>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</si>
  <si>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</si>
  <si>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</si>
  <si>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</si>
  <si>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</si>
  <si>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</si>
  <si>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</si>
  <si>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</si>
  <si>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</si>
  <si>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</si>
  <si>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</si>
  <si>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</si>
  <si>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</si>
  <si>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</si>
  <si>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</si>
  <si>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</si>
  <si>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</si>
  <si>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</si>
  <si>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</si>
  <si>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</si>
  <si>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</si>
  <si>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</si>
  <si>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</si>
  <si>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</si>
  <si>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</si>
  <si>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</si>
  <si>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</si>
  <si>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</si>
  <si>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</si>
  <si>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</si>
  <si>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</si>
  <si>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</si>
  <si>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</si>
  <si>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</si>
  <si>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</si>
  <si>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</si>
  <si>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</si>
  <si>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</si>
  <si>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</si>
  <si>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</si>
  <si>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</si>
  <si>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</si>
  <si>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</si>
  <si>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</si>
  <si>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</si>
  <si>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</si>
  <si>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</si>
  <si>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</si>
  <si>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</si>
  <si>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</si>
  <si>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</si>
  <si>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</si>
  <si>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</si>
  <si>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</si>
  <si>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</si>
  <si>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</si>
  <si>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</si>
  <si>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</si>
  <si>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comision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</si>
</sst>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/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opLeftCell="A4" zoomScale="121" workbookViewId="0">
      <selection activeCell="K12" sqref="K12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70</v>
      </c>
      <c r="F6" s="8">
        <v>70</v>
      </c>
    </row>
    <row r="7" spans="2:8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</row>
    <row r="9" spans="2:8" x14ac:dyDescent="0.25">
      <c r="B9" t="s">
        <v>18</v>
      </c>
      <c r="C9" t="s">
        <v>41</v>
      </c>
      <c r="F9">
        <v>15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</row>
    <row r="12" spans="2:8" x14ac:dyDescent="0.25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  <c r="F14">
        <v>31</v>
      </c>
    </row>
    <row r="15" spans="2:8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468</v>
      </c>
      <c r="F17" s="7">
        <f>SUM(F2:F16)</f>
        <v>386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32</v>
      </c>
      <c r="F19" s="5">
        <f>F18-F17</f>
        <v>62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28" priority="1" operator="equal">
      <formula>$C$10</formula>
    </cfRule>
    <cfRule type="cellIs" dxfId="27" priority="2" operator="equal">
      <formula>$C$7</formula>
    </cfRule>
    <cfRule type="cellIs" dxfId="26" priority="3" operator="equal">
      <formula>$C$3</formula>
    </cfRule>
    <cfRule type="cellIs" dxfId="2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6" workbookViewId="0">
      <selection activeCell="H18" sqref="H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586.71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54.84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v>280</v>
      </c>
      <c r="F13" s="12">
        <v>47.51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14335</v>
      </c>
      <c r="D14" s="20"/>
      <c r="E14" s="21"/>
      <c r="F14" s="21"/>
      <c r="G14" s="21">
        <f>SUM(G3:G13)</f>
        <v>0</v>
      </c>
      <c r="H14" s="21">
        <f>SUM(H3:H13)</f>
        <v>0</v>
      </c>
      <c r="I14" s="21"/>
      <c r="J14" s="21">
        <f>SUM(J3:J13)</f>
        <v>641.55000000000007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>
        <v>46081</v>
      </c>
      <c r="D17" s="24">
        <v>46096</v>
      </c>
      <c r="E17" s="24">
        <v>46111</v>
      </c>
      <c r="F17" s="24" t="s">
        <v>60</v>
      </c>
      <c r="G17" s="24"/>
      <c r="H17" s="24"/>
      <c r="I17" s="24"/>
    </row>
    <row r="18" spans="1:10" ht="15.75" thickBot="1" x14ac:dyDescent="0.3">
      <c r="A18" s="1" t="s">
        <v>35</v>
      </c>
      <c r="B18" s="57">
        <v>150</v>
      </c>
      <c r="C18" s="2">
        <v>30</v>
      </c>
      <c r="D18" s="2"/>
      <c r="E18" s="2"/>
      <c r="F18" s="2">
        <v>150</v>
      </c>
      <c r="G18" s="2">
        <v>70</v>
      </c>
      <c r="H18" s="2"/>
      <c r="I18" s="22"/>
      <c r="J18" s="23">
        <f>SUM(B18:I18)</f>
        <v>400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641.55000000000007</v>
      </c>
    </row>
    <row r="21" spans="1:10" ht="15.75" thickBot="1" x14ac:dyDescent="0.3">
      <c r="D21" s="12"/>
      <c r="H21" s="26" t="s">
        <v>38</v>
      </c>
      <c r="I21" s="25">
        <f>+J18-H14-G14</f>
        <v>400</v>
      </c>
    </row>
    <row r="22" spans="1:10" ht="15.75" thickBot="1" x14ac:dyDescent="0.3">
      <c r="D22" s="20"/>
      <c r="H22" s="27" t="s">
        <v>54</v>
      </c>
      <c r="I22" s="25">
        <f>+I21-J14</f>
        <v>-241.55000000000007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9 D31 D41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048576">
    <cfRule type="timePeriod" dxfId="18" priority="40" timePeriod="nextMonth">
      <formula>AND(MONTH(I1)=MONTH(EDATE(TODAY(),0+1)),YEAR(I1)=YEAR(EDATE(TODAY(),0+1)))</formula>
    </cfRule>
    <cfRule type="timePeriod" dxfId="17" priority="41" timePeriod="thisMonth">
      <formula>AND(MONTH(I1)=MONTH(TODAY()),YEAR(I1)=YEAR(TODAY()))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G62"/>
  <sheetViews>
    <sheetView topLeftCell="A4" workbookViewId="0">
      <selection activeCell="C6" sqref="C6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7" ht="30" x14ac:dyDescent="0.25">
      <c r="A1" s="45" t="s">
        <v>49</v>
      </c>
      <c r="B1" s="48" t="s">
        <v>52</v>
      </c>
      <c r="C1" s="48" t="s">
        <v>53</v>
      </c>
    </row>
    <row r="2" spans="1:7" x14ac:dyDescent="0.25">
      <c r="A2" s="47"/>
      <c r="B2" s="11">
        <v>0</v>
      </c>
      <c r="C2" s="11">
        <v>250</v>
      </c>
      <c r="D2" t="b">
        <f t="shared" ref="D2:D28" ca="1" si="0">AND(TEXT(A2,"mm-yyyy")=TEXT(TODAY()-DAY(TODAY()-1),"mm-yyyy"), C2&gt;=B2)</f>
        <v>0</v>
      </c>
    </row>
    <row r="3" spans="1:7" x14ac:dyDescent="0.25">
      <c r="A3" s="47">
        <v>46037</v>
      </c>
      <c r="B3" s="11">
        <v>75</v>
      </c>
      <c r="C3" s="11">
        <v>150</v>
      </c>
      <c r="D3" t="b">
        <f t="shared" ca="1" si="0"/>
        <v>0</v>
      </c>
    </row>
    <row r="4" spans="1:7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7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7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7" x14ac:dyDescent="0.25">
      <c r="A7" s="47">
        <v>46096</v>
      </c>
      <c r="B7" s="11">
        <v>75</v>
      </c>
      <c r="C7" s="11"/>
      <c r="D7" t="b">
        <f t="shared" ca="1" si="0"/>
        <v>0</v>
      </c>
      <c r="E7">
        <v>100</v>
      </c>
      <c r="F7">
        <v>50</v>
      </c>
    </row>
    <row r="8" spans="1:7" x14ac:dyDescent="0.25">
      <c r="A8" s="47">
        <v>46112</v>
      </c>
      <c r="B8" s="11">
        <v>70</v>
      </c>
      <c r="C8" s="11"/>
      <c r="D8" t="b">
        <f t="shared" ca="1" si="0"/>
        <v>0</v>
      </c>
      <c r="E8">
        <v>100</v>
      </c>
      <c r="F8">
        <v>0</v>
      </c>
    </row>
    <row r="9" spans="1:7" x14ac:dyDescent="0.25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7" x14ac:dyDescent="0.25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  <c r="F10">
        <v>0</v>
      </c>
    </row>
    <row r="11" spans="1:7" x14ac:dyDescent="0.25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7" x14ac:dyDescent="0.25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  <c r="F12">
        <v>0</v>
      </c>
    </row>
    <row r="13" spans="1:7" x14ac:dyDescent="0.25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  <c r="F13">
        <v>50</v>
      </c>
      <c r="G13">
        <f>SUM(E7:F15)</f>
        <v>900</v>
      </c>
    </row>
    <row r="14" spans="1:7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7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7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400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-70</v>
      </c>
      <c r="C57" s="61"/>
    </row>
    <row r="58" spans="1:4" x14ac:dyDescent="0.25">
      <c r="B58" s="59">
        <f ca="1">IF(SUMIFS(B2:B54,A2:A54,"&lt;="&amp;TODAY())=0,0,SUMIFS(C2:C54,A2:A54,"&lt;="&amp;TODAY())/SUMIFS(B2:B54,A2:A54,"&lt;="&amp;TODAY()))</f>
        <v>0.68181818181818177</v>
      </c>
      <c r="C58" s="3"/>
    </row>
    <row r="59" spans="1:4" x14ac:dyDescent="0.25">
      <c r="B59">
        <f ca="1">MAX(0, SUMIFS(B2:B54,A2:A54,"&lt;="&amp;TODAY())-SUMIFS(C2:C54,A2:A54,"&lt;="&amp;TODAY()))</f>
        <v>70</v>
      </c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Vasquez</cp:lastModifiedBy>
  <cp:lastPrinted>2025-04-01T02:16:43Z</cp:lastPrinted>
  <dcterms:created xsi:type="dcterms:W3CDTF">2024-09-09T17:55:09Z</dcterms:created>
  <dcterms:modified xsi:type="dcterms:W3CDTF">2026-02-25T04:56:47Z</dcterms:modified>
</cp:coreProperties>
</file>