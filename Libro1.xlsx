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C3A819DC-CF9E-43DB-AE91-CFC71C7F7208}" xr6:coauthVersionLast="47" xr6:coauthVersionMax="47" xr10:uidLastSave="{00000000-0000-0000-0000-000000000000}"/>
  <bookViews>
    <workbookView xWindow="-120" yWindow="-120" windowWidth="29040" windowHeight="1572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3" l="1"/>
  <c r="J14" i="3"/>
  <c r="J18" i="3"/>
  <c r="J3" i="2"/>
  <c r="E14" i="3"/>
  <c r="J5" i="2"/>
  <c r="J4" i="2"/>
  <c r="J2" i="2"/>
  <c r="D18" i="2"/>
  <c r="F18" i="2"/>
  <c r="H14" i="3"/>
  <c r="C14" i="3"/>
  <c r="B57" i="4"/>
  <c r="B55" i="4"/>
  <c r="C55" i="4"/>
  <c r="D19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G14" i="3"/>
  <c r="I21" i="3" l="1"/>
  <c r="I20" i="3"/>
  <c r="F20" i="2"/>
  <c r="I22" i="3" l="1"/>
  <c r="D20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<sst xmlns="http://schemas.openxmlformats.org/spreadsheetml/2006/main" count="92" uniqueCount="67">
  <si>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</si>
  <si>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</si>
  <si>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</si>
  <si>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</si>
  <si>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</si>
  <si>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</si>
  <si>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</si>
  <si>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</si>
  <si>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</si>
  <si>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</si>
  <si>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</si>
  <si>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</si>
  <si>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</si>
  <si>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</si>
  <si>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</si>
  <si>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</si>
  <si>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</si>
  <si>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</si>
  <si>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</si>
  <si>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</si>
  <si>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</si>
  <si>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</si>
  <si>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</si>
  <si>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</si>
  <si>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</si>
  <si>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</si>
  <si>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</si>
  <si>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</si>
  <si>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</si>
  <si>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</si>
  <si>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</si>
  <si>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</si>
  <si>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</si>
  <si>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</si>
  <si>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</si>
  <si>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</si>
  <si>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</si>
  <si>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</si>
  <si>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</si>
  <si>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</si>
  <si>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</si>
  <si>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</si>
  <si>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</si>
  <si>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</si>
  <si>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</si>
  <si>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</si>
  <si>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</si>
  <si>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</si>
  <si>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</si>
  <si>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</si>
  <si>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</si>
  <si>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</si>
  <si>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</si>
  <si>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</si>
  <si>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</si>
  <si>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</si>
  <si>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</si>
  <si>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</si>
  <si>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</si>
  <si>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</si>
  <si>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</si>
  <si>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Way</t>
  </si>
  <si>
    <t>%Com sep</t>
  </si>
  <si>
    <t>x</t>
  </si>
  <si>
    <t>Plan Seguro</t>
  </si>
  <si>
    <t>Ahorro</t>
  </si>
  <si>
    <t>CapitalPrestamo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</si>
</sst>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5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0" fillId="6" borderId="0" xfId="0" applyFill="1" applyBorder="1"/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K38"/>
  <sheetViews>
    <sheetView zoomScale="121" workbookViewId="0">
      <selection activeCell="G13" sqref="G13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1" x14ac:dyDescent="0.25">
      <c r="B1" s="13" t="s">
        <v>13</v>
      </c>
      <c r="C1" s="13"/>
      <c r="D1" s="13">
        <v>15</v>
      </c>
      <c r="F1" s="13">
        <v>30</v>
      </c>
      <c r="I1" s="60" t="s">
        <v>58</v>
      </c>
      <c r="J1" s="60" t="s">
        <v>59</v>
      </c>
      <c r="K1" s="60" t="s">
        <v>40</v>
      </c>
    </row>
    <row r="2" spans="2:11" x14ac:dyDescent="0.25">
      <c r="B2" s="9" t="s">
        <v>2</v>
      </c>
      <c r="C2" s="9" t="s">
        <v>16</v>
      </c>
      <c r="D2" s="8">
        <v>60</v>
      </c>
      <c r="F2" s="8">
        <v>60</v>
      </c>
      <c r="I2" s="9" t="s">
        <v>53</v>
      </c>
      <c r="J2" s="11">
        <f>SUM(D2:F6)</f>
        <v>420</v>
      </c>
      <c r="K2" s="61">
        <f>100/$J$7*J2/100</f>
        <v>0.72790294627383023</v>
      </c>
    </row>
    <row r="3" spans="2:11" x14ac:dyDescent="0.25">
      <c r="B3" s="9" t="s">
        <v>3</v>
      </c>
      <c r="C3" s="9" t="s">
        <v>36</v>
      </c>
      <c r="D3" s="8">
        <v>50</v>
      </c>
      <c r="F3" s="8">
        <v>50</v>
      </c>
      <c r="G3" t="s">
        <v>63</v>
      </c>
      <c r="I3" s="9" t="s">
        <v>54</v>
      </c>
      <c r="J3" s="11">
        <f>+D7+F7</f>
        <v>30</v>
      </c>
      <c r="K3" s="61">
        <f t="shared" ref="K3:K6" si="0">100/$J$7*J3/100</f>
        <v>5.1993067590987874E-2</v>
      </c>
    </row>
    <row r="4" spans="2:11" x14ac:dyDescent="0.25">
      <c r="B4" s="9" t="s">
        <v>4</v>
      </c>
      <c r="C4" s="9" t="s">
        <v>16</v>
      </c>
      <c r="D4" s="8">
        <v>10</v>
      </c>
      <c r="F4" s="8">
        <v>10</v>
      </c>
      <c r="G4" t="s">
        <v>63</v>
      </c>
      <c r="I4" s="9" t="s">
        <v>55</v>
      </c>
      <c r="J4" s="11">
        <f>D8</f>
        <v>0</v>
      </c>
      <c r="K4" s="61">
        <f t="shared" si="0"/>
        <v>0</v>
      </c>
    </row>
    <row r="5" spans="2:11" x14ac:dyDescent="0.25">
      <c r="B5" s="9" t="s">
        <v>5</v>
      </c>
      <c r="C5" s="9" t="s">
        <v>16</v>
      </c>
      <c r="D5" s="8">
        <v>30</v>
      </c>
      <c r="F5" s="8">
        <v>30</v>
      </c>
      <c r="G5" t="s">
        <v>63</v>
      </c>
      <c r="I5" s="9" t="s">
        <v>56</v>
      </c>
      <c r="J5" s="11">
        <f>SUM(D11:F13)</f>
        <v>55</v>
      </c>
      <c r="K5" s="61">
        <f t="shared" si="0"/>
        <v>9.5320623916811106E-2</v>
      </c>
    </row>
    <row r="6" spans="2:11" x14ac:dyDescent="0.25">
      <c r="B6" s="9" t="s">
        <v>6</v>
      </c>
      <c r="C6" s="9" t="s">
        <v>36</v>
      </c>
      <c r="D6" s="8">
        <v>60</v>
      </c>
      <c r="F6" s="8">
        <v>60</v>
      </c>
      <c r="G6" t="s">
        <v>63</v>
      </c>
      <c r="I6" s="9" t="s">
        <v>60</v>
      </c>
      <c r="J6" s="11">
        <f>D20+F20</f>
        <v>72</v>
      </c>
      <c r="K6" s="61">
        <f t="shared" si="0"/>
        <v>0.1247833622183709</v>
      </c>
    </row>
    <row r="7" spans="2:11" x14ac:dyDescent="0.25">
      <c r="B7" s="9" t="s">
        <v>64</v>
      </c>
      <c r="C7" s="9" t="s">
        <v>38</v>
      </c>
      <c r="D7" s="8">
        <v>15</v>
      </c>
      <c r="F7" s="8">
        <v>15</v>
      </c>
      <c r="I7" s="60" t="s">
        <v>57</v>
      </c>
      <c r="J7" s="60">
        <f>SUM(J2:J6)</f>
        <v>577</v>
      </c>
    </row>
    <row r="8" spans="2:11" x14ac:dyDescent="0.25">
      <c r="B8" t="s">
        <v>7</v>
      </c>
      <c r="C8" t="s">
        <v>38</v>
      </c>
      <c r="D8" s="57"/>
      <c r="F8" s="57">
        <v>167</v>
      </c>
    </row>
    <row r="9" spans="2:11" x14ac:dyDescent="0.25">
      <c r="B9" t="s">
        <v>65</v>
      </c>
      <c r="C9" t="s">
        <v>38</v>
      </c>
      <c r="D9" s="64">
        <v>50</v>
      </c>
      <c r="F9" s="64"/>
    </row>
    <row r="10" spans="2:11" x14ac:dyDescent="0.25">
      <c r="B10" t="s">
        <v>66</v>
      </c>
      <c r="C10" t="s">
        <v>38</v>
      </c>
      <c r="D10" s="64">
        <v>100</v>
      </c>
      <c r="F10" s="64"/>
    </row>
    <row r="11" spans="2:11" x14ac:dyDescent="0.25">
      <c r="B11" t="s">
        <v>14</v>
      </c>
      <c r="C11" t="s">
        <v>36</v>
      </c>
      <c r="F11">
        <v>10</v>
      </c>
    </row>
    <row r="12" spans="2:11" x14ac:dyDescent="0.25">
      <c r="B12" t="s">
        <v>8</v>
      </c>
      <c r="C12" t="s">
        <v>37</v>
      </c>
      <c r="F12">
        <v>25</v>
      </c>
      <c r="G12" t="s">
        <v>63</v>
      </c>
    </row>
    <row r="13" spans="2:11" x14ac:dyDescent="0.25">
      <c r="B13" t="s">
        <v>9</v>
      </c>
      <c r="C13" t="s">
        <v>37</v>
      </c>
      <c r="D13">
        <v>15</v>
      </c>
      <c r="F13">
        <v>5</v>
      </c>
      <c r="G13" t="s">
        <v>63</v>
      </c>
      <c r="H13">
        <v>8286917</v>
      </c>
    </row>
    <row r="14" spans="2:11" x14ac:dyDescent="0.25">
      <c r="B14" t="s">
        <v>61</v>
      </c>
      <c r="D14">
        <v>54</v>
      </c>
      <c r="K14" s="3"/>
    </row>
    <row r="18" spans="2:6" x14ac:dyDescent="0.25">
      <c r="B18" s="7" t="s">
        <v>10</v>
      </c>
      <c r="C18" s="7"/>
      <c r="D18" s="7">
        <f>SUM(D2:D17)</f>
        <v>444</v>
      </c>
      <c r="F18" s="7">
        <f>SUM(F2:F17)</f>
        <v>432</v>
      </c>
    </row>
    <row r="19" spans="2:6" x14ac:dyDescent="0.25">
      <c r="B19" s="6" t="s">
        <v>11</v>
      </c>
      <c r="C19" s="6"/>
      <c r="D19" s="6">
        <f>250+250</f>
        <v>500</v>
      </c>
      <c r="F19" s="6">
        <v>448</v>
      </c>
    </row>
    <row r="20" spans="2:6" x14ac:dyDescent="0.25">
      <c r="B20" s="5" t="s">
        <v>12</v>
      </c>
      <c r="C20" s="5"/>
      <c r="D20" s="5">
        <f>D19-D18</f>
        <v>56</v>
      </c>
      <c r="F20" s="5">
        <f>F19-F18</f>
        <v>16</v>
      </c>
    </row>
    <row r="21" spans="2:6" x14ac:dyDescent="0.25">
      <c r="D21" t="s">
        <v>42</v>
      </c>
    </row>
    <row r="38" ht="30.75" customHeight="1" x14ac:dyDescent="0.25"/>
  </sheetData>
  <conditionalFormatting sqref="C1:C1048576">
    <cfRule type="cellIs" dxfId="17" priority="46" operator="equal">
      <formula>#REF!</formula>
    </cfRule>
    <cfRule type="cellIs" dxfId="16" priority="47" operator="equal">
      <formula>$C$7</formula>
    </cfRule>
    <cfRule type="cellIs" dxfId="15" priority="48" operator="equal">
      <formula>$C$3</formula>
    </cfRule>
    <cfRule type="cellIs" dxfId="14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zoomScale="120" workbookViewId="0">
      <selection activeCell="B19" sqref="B19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15</v>
      </c>
      <c r="B2" s="14" t="s">
        <v>16</v>
      </c>
      <c r="C2" s="15" t="s">
        <v>17</v>
      </c>
      <c r="D2" s="16" t="s">
        <v>22</v>
      </c>
      <c r="E2" s="17" t="s">
        <v>23</v>
      </c>
      <c r="F2" s="17" t="s">
        <v>24</v>
      </c>
      <c r="G2" s="18" t="s">
        <v>49</v>
      </c>
      <c r="H2" s="27" t="s">
        <v>19</v>
      </c>
      <c r="I2" s="14" t="s">
        <v>18</v>
      </c>
      <c r="J2" s="28" t="s">
        <v>1</v>
      </c>
      <c r="K2" s="31" t="s">
        <v>40</v>
      </c>
    </row>
    <row r="3" spans="1:14" s="51" customFormat="1" x14ac:dyDescent="0.25">
      <c r="A3" s="51" t="s">
        <v>35</v>
      </c>
      <c r="B3" s="51" t="s">
        <v>27</v>
      </c>
      <c r="C3" s="32">
        <v>2100</v>
      </c>
      <c r="D3" s="52">
        <v>45815</v>
      </c>
      <c r="E3" s="12">
        <f>430.23-Tabla1[[#This Row],[Cuota a largo plazo]]</f>
        <v>376.46000000000004</v>
      </c>
      <c r="F3" s="12">
        <v>53.77</v>
      </c>
      <c r="G3" s="32"/>
      <c r="H3" s="43"/>
      <c r="I3" s="52">
        <v>46296</v>
      </c>
      <c r="J3" s="43"/>
      <c r="K3" s="53"/>
    </row>
    <row r="4" spans="1:14" s="33" customFormat="1" x14ac:dyDescent="0.25">
      <c r="A4" s="33" t="s">
        <v>50</v>
      </c>
      <c r="B4" s="33" t="s">
        <v>20</v>
      </c>
      <c r="C4" s="34">
        <v>700</v>
      </c>
      <c r="D4" s="35">
        <v>45817</v>
      </c>
      <c r="E4" s="36"/>
      <c r="F4" s="36"/>
      <c r="G4" s="34"/>
      <c r="H4" s="34"/>
      <c r="I4" s="35">
        <v>46298</v>
      </c>
      <c r="J4" s="36"/>
      <c r="K4" s="37"/>
    </row>
    <row r="5" spans="1:14" x14ac:dyDescent="0.25">
      <c r="A5" t="s">
        <v>50</v>
      </c>
      <c r="B5" t="s">
        <v>21</v>
      </c>
      <c r="C5" s="3">
        <v>2000</v>
      </c>
      <c r="D5" s="20">
        <v>45817</v>
      </c>
      <c r="H5" s="12"/>
      <c r="I5" s="20">
        <v>46298</v>
      </c>
      <c r="J5" s="12">
        <v>152.05000000000001</v>
      </c>
      <c r="N5" s="4"/>
    </row>
    <row r="6" spans="1:14" s="29" customFormat="1" x14ac:dyDescent="0.25">
      <c r="A6"/>
      <c r="B6" t="s">
        <v>51</v>
      </c>
      <c r="C6" s="3">
        <v>840</v>
      </c>
      <c r="D6" s="20">
        <v>45817</v>
      </c>
      <c r="E6" s="12"/>
      <c r="F6" s="12"/>
      <c r="G6" s="12"/>
      <c r="H6" s="12"/>
      <c r="I6" s="20">
        <v>46302</v>
      </c>
      <c r="J6" s="12">
        <v>72.05</v>
      </c>
      <c r="K6" s="30"/>
    </row>
    <row r="7" spans="1:14" x14ac:dyDescent="0.25">
      <c r="A7" t="s">
        <v>28</v>
      </c>
      <c r="B7" t="s">
        <v>21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34</v>
      </c>
      <c r="B8" s="33" t="s">
        <v>26</v>
      </c>
      <c r="C8" s="34">
        <v>1600</v>
      </c>
      <c r="D8" s="35">
        <v>45822</v>
      </c>
      <c r="E8" s="36"/>
      <c r="F8" s="36"/>
      <c r="G8" s="34"/>
      <c r="H8" s="34"/>
      <c r="I8" s="35">
        <v>46303</v>
      </c>
      <c r="J8" s="36"/>
      <c r="K8" s="37"/>
    </row>
    <row r="9" spans="1:14" s="51" customFormat="1" x14ac:dyDescent="0.25">
      <c r="A9" s="51" t="s">
        <v>25</v>
      </c>
      <c r="B9" s="51" t="s">
        <v>21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25</v>
      </c>
      <c r="B10" t="s">
        <v>41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25</v>
      </c>
      <c r="B11" s="33" t="s">
        <v>39</v>
      </c>
      <c r="C11" s="34">
        <v>1500</v>
      </c>
      <c r="D11" s="35">
        <v>45829</v>
      </c>
      <c r="E11" s="36"/>
      <c r="F11" s="36"/>
      <c r="G11" s="34"/>
      <c r="H11" s="34"/>
      <c r="I11" s="35">
        <v>46311</v>
      </c>
      <c r="J11" s="36"/>
      <c r="K11" s="37"/>
      <c r="M11" s="34"/>
    </row>
    <row r="12" spans="1:14" s="38" customFormat="1" x14ac:dyDescent="0.25">
      <c r="A12" s="38" t="s">
        <v>52</v>
      </c>
      <c r="B12" s="38" t="s">
        <v>51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52</v>
      </c>
      <c r="B13" s="38" t="s">
        <v>51</v>
      </c>
      <c r="D13" s="40">
        <v>45798</v>
      </c>
      <c r="G13" s="12"/>
      <c r="I13" s="20">
        <v>46302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+E3+F3</f>
        <v>430.23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224.10000000000002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29</v>
      </c>
      <c r="B17" s="9" t="s">
        <v>31</v>
      </c>
      <c r="C17" s="23"/>
      <c r="D17" s="23">
        <v>46310</v>
      </c>
      <c r="E17" s="23">
        <v>46326</v>
      </c>
      <c r="F17" s="23" t="s">
        <v>62</v>
      </c>
      <c r="G17" s="23"/>
      <c r="H17" s="23"/>
      <c r="I17" s="23"/>
    </row>
    <row r="18" spans="1:11" ht="15.75" thickBot="1" x14ac:dyDescent="0.3">
      <c r="A18" s="1" t="s">
        <v>30</v>
      </c>
      <c r="B18" s="56">
        <v>300</v>
      </c>
      <c r="C18" s="2"/>
      <c r="D18" s="59"/>
      <c r="E18" s="59"/>
      <c r="F18" s="2"/>
      <c r="G18" s="59"/>
      <c r="H18" s="2"/>
      <c r="I18" s="2"/>
      <c r="J18" s="22">
        <f>SUM(B18:I18)</f>
        <v>300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32</v>
      </c>
      <c r="I20" s="24">
        <f>+H14+J14+G14</f>
        <v>224.10000000000002</v>
      </c>
    </row>
    <row r="21" spans="1:11" ht="15.75" thickBot="1" x14ac:dyDescent="0.3">
      <c r="D21" s="12"/>
      <c r="H21" s="25" t="s">
        <v>33</v>
      </c>
      <c r="I21" s="24">
        <f>+J18-H14-G14</f>
        <v>300</v>
      </c>
    </row>
    <row r="22" spans="1:11" ht="15.75" thickBot="1" x14ac:dyDescent="0.3">
      <c r="D22" s="20"/>
      <c r="H22" s="26" t="s">
        <v>48</v>
      </c>
      <c r="I22" s="24">
        <f>+I21-J14</f>
        <v>75.899999999999977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14" workbookViewId="0">
      <selection activeCell="C20" sqref="C20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43</v>
      </c>
      <c r="B1" s="47" t="s">
        <v>46</v>
      </c>
      <c r="C1" s="47" t="s">
        <v>47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>
        <v>0</v>
      </c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>
        <v>0</v>
      </c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>
        <v>0</v>
      </c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>
        <v>0</v>
      </c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>
        <v>150</v>
      </c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>
        <v>100</v>
      </c>
      <c r="D19" t="b">
        <f t="shared" ca="1" si="0"/>
        <v>1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44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45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44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45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800</v>
      </c>
    </row>
    <row r="56" spans="1:4" ht="15.75" thickBot="1" x14ac:dyDescent="0.3">
      <c r="B56" s="3"/>
      <c r="C56" s="3"/>
    </row>
    <row r="57" spans="1:4" ht="15.75" thickBot="1" x14ac:dyDescent="0.3">
      <c r="B57" s="62">
        <f ca="1">IFERROR(SUMIFS(C2:C54,A2:A54,"&lt;="&amp;TODAY()),0)-IFERROR(SUMIFS(B2:B54,A2:A54,"&lt;="&amp;TODAY()),0)</f>
        <v>-505</v>
      </c>
      <c r="C57" s="63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2026-09-30T21:29:42Z</dcterms:modified>
</cp:coreProperties>
</file>