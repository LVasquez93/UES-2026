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2C2B0160-F323-4599-83F7-783850170140}" xr6:coauthVersionLast="47" xr6:coauthVersionMax="47" xr10:uidLastSave="{00000000-0000-0000-0000-000000000000}"/>
  <bookViews>
    <workbookView xWindow="-120" yWindow="-120" windowWidth="29040" windowHeight="1572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3" l="1"/>
  <c r="E14" i="3"/>
  <c r="H14" i="3"/>
  <c r="C14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<sst xmlns="http://schemas.openxmlformats.org/spreadsheetml/2006/main" count="80" uniqueCount="60">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</sst>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zoomScale="121" workbookViewId="0">
      <selection activeCell="D15" sqref="D15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60</v>
      </c>
      <c r="F6" s="8">
        <v>60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10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workbookViewId="0">
      <selection activeCell="B19" sqref="B19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52" customFormat="1" x14ac:dyDescent="0.25">
      <c r="A3" s="52" t="s">
        <v>40</v>
      </c>
      <c r="B3" s="52" t="s">
        <v>31</v>
      </c>
      <c r="C3" s="33">
        <v>2100</v>
      </c>
      <c r="D3" s="53">
        <v>45815</v>
      </c>
      <c r="E3" s="44"/>
      <c r="F3" s="44"/>
      <c r="G3" s="33"/>
      <c r="H3" s="33"/>
      <c r="I3" s="53">
        <v>45871</v>
      </c>
      <c r="J3" s="44">
        <v>51.16</v>
      </c>
      <c r="K3" s="54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46179</v>
      </c>
      <c r="J5" s="12">
        <v>233.39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46179</v>
      </c>
      <c r="J6" s="12">
        <v>74.92</v>
      </c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>
        <v>60</v>
      </c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>
        <v>40</v>
      </c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v>46.7</v>
      </c>
      <c r="F13" s="12">
        <v>46.32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93.02000000000001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459.46999999999997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/>
      <c r="D17" s="24">
        <v>46188</v>
      </c>
      <c r="E17" s="24">
        <v>46203</v>
      </c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180</v>
      </c>
      <c r="C18" s="2"/>
      <c r="D18" s="2">
        <v>40</v>
      </c>
      <c r="E18" s="60">
        <v>75</v>
      </c>
      <c r="F18" s="2"/>
      <c r="G18" s="2"/>
      <c r="H18" s="2"/>
      <c r="I18" s="22"/>
      <c r="J18" s="23">
        <f>SUM(B18:I18)</f>
        <v>295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459.46999999999997</v>
      </c>
    </row>
    <row r="21" spans="1:10" ht="15.75" thickBot="1" x14ac:dyDescent="0.3">
      <c r="D21" s="12"/>
      <c r="H21" s="26" t="s">
        <v>38</v>
      </c>
      <c r="I21" s="25">
        <f>+J18-H14-G14</f>
        <v>295</v>
      </c>
    </row>
    <row r="22" spans="1:10" ht="15.75" thickBot="1" x14ac:dyDescent="0.3">
      <c r="D22" s="20"/>
      <c r="H22" s="27" t="s">
        <v>54</v>
      </c>
      <c r="I22" s="25">
        <f>+I21-J14</f>
        <v>-164.46999999999997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3"/>
      <c r="I28" s="20"/>
    </row>
    <row r="29" spans="1:10" x14ac:dyDescent="0.25">
      <c r="D29" s="3"/>
      <c r="I29" s="20"/>
    </row>
    <row r="30" spans="1:10" x14ac:dyDescent="0.25">
      <c r="D30" s="3"/>
      <c r="I30" s="20"/>
    </row>
    <row r="31" spans="1:10" x14ac:dyDescent="0.25">
      <c r="D31" s="3"/>
      <c r="I31" s="20"/>
    </row>
    <row r="32" spans="1:10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35" workbookViewId="0">
      <selection activeCell="C11" sqref="C11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5" t="s">
        <v>49</v>
      </c>
      <c r="B1" s="48" t="s">
        <v>52</v>
      </c>
      <c r="C1" s="48" t="s">
        <v>53</v>
      </c>
    </row>
    <row r="2" spans="1:4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7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7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7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7">
        <v>46173</v>
      </c>
      <c r="B12" s="11">
        <v>70</v>
      </c>
      <c r="C12" s="11">
        <v>100</v>
      </c>
      <c r="D12" t="b">
        <f t="shared" ca="1" si="0"/>
        <v>1</v>
      </c>
    </row>
    <row r="13" spans="1:4" x14ac:dyDescent="0.25">
      <c r="A13" s="47">
        <v>46188</v>
      </c>
      <c r="B13" s="11">
        <v>75</v>
      </c>
      <c r="C13" s="11"/>
      <c r="D13" t="b">
        <f t="shared" ca="1" si="0"/>
        <v>0</v>
      </c>
    </row>
    <row r="14" spans="1:4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1">
        <f ca="1">IFERROR(SUMIFS(C2:C54,A2:A54,"&lt;="&amp;TODAY()),0)-IFERROR(SUMIFS(B2:B54,A2:A54,"&lt;="&amp;TODAY()),0)</f>
        <v>-175</v>
      </c>
      <c r="C57" s="62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2026-06-01T21:51:29Z</dcterms:modified>
</cp:coreProperties>
</file>