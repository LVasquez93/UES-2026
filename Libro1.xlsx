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E19C8E4B-3422-44A8-B07E-3C7B0439ECD6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3" l="1"/>
  <c r="E13" i="3"/>
  <c r="E14" i="3" s="1"/>
  <c r="J5" i="2"/>
  <c r="J4" i="2"/>
  <c r="J3" i="2"/>
  <c r="J2" i="2"/>
  <c r="D16" i="2"/>
  <c r="F16" i="2"/>
  <c r="J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<sst xmlns="http://schemas.openxmlformats.org/spreadsheetml/2006/main" count="83" uniqueCount="63">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</sst>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N36"/>
  <sheetViews>
    <sheetView zoomScale="121" workbookViewId="0">
      <selection activeCell="L12" sqref="L12:L14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4" x14ac:dyDescent="0.25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4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0.4219409282700422</v>
      </c>
    </row>
    <row r="3" spans="2:14" x14ac:dyDescent="0.25">
      <c r="B3" s="9" t="s">
        <v>3</v>
      </c>
      <c r="C3" s="9" t="s">
        <v>37</v>
      </c>
      <c r="D3" s="8">
        <v>50</v>
      </c>
      <c r="E3" t="s">
        <v>62</v>
      </c>
      <c r="F3" s="8">
        <v>50</v>
      </c>
      <c r="I3" s="9" t="s">
        <v>55</v>
      </c>
      <c r="J3" s="11">
        <f>+D7+F7</f>
        <v>0</v>
      </c>
      <c r="K3" s="61">
        <f t="shared" ref="K3:K6" si="0">100/$J$7*J3/100</f>
        <v>0</v>
      </c>
    </row>
    <row r="4" spans="2:14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56</v>
      </c>
      <c r="J4" s="11">
        <f>D8</f>
        <v>95</v>
      </c>
      <c r="K4" s="61">
        <f t="shared" si="0"/>
        <v>0.10021097046413502</v>
      </c>
    </row>
    <row r="5" spans="2:14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57</v>
      </c>
      <c r="J5" s="11">
        <f>SUM(D9:F11)</f>
        <v>55</v>
      </c>
      <c r="K5" s="61">
        <f t="shared" si="0"/>
        <v>5.8016877637130808E-2</v>
      </c>
    </row>
    <row r="6" spans="2:14" x14ac:dyDescent="0.25">
      <c r="B6" s="9" t="s">
        <v>6</v>
      </c>
      <c r="C6" s="9" t="s">
        <v>37</v>
      </c>
      <c r="D6" s="8">
        <v>60</v>
      </c>
      <c r="E6" t="s">
        <v>62</v>
      </c>
      <c r="F6" s="8">
        <v>60</v>
      </c>
      <c r="I6" s="9" t="s">
        <v>61</v>
      </c>
      <c r="J6" s="11">
        <f>D18+F18</f>
        <v>398</v>
      </c>
      <c r="K6" s="61">
        <f t="shared" si="0"/>
        <v>0.41983122362869196</v>
      </c>
    </row>
    <row r="7" spans="2:14" x14ac:dyDescent="0.25">
      <c r="B7" s="9" t="s">
        <v>14</v>
      </c>
      <c r="C7" s="9" t="s">
        <v>39</v>
      </c>
      <c r="D7" s="8"/>
      <c r="F7" s="8"/>
      <c r="I7" s="60" t="s">
        <v>58</v>
      </c>
      <c r="J7" s="60">
        <f>SUM(J2:J6)</f>
        <v>948</v>
      </c>
    </row>
    <row r="8" spans="2:14" x14ac:dyDescent="0.25">
      <c r="B8" t="s">
        <v>7</v>
      </c>
      <c r="C8" t="s">
        <v>39</v>
      </c>
      <c r="D8" s="57">
        <v>95</v>
      </c>
    </row>
    <row r="9" spans="2:14" x14ac:dyDescent="0.25">
      <c r="B9" t="s">
        <v>15</v>
      </c>
      <c r="C9" t="s">
        <v>37</v>
      </c>
      <c r="F9">
        <v>10</v>
      </c>
    </row>
    <row r="10" spans="2:14" x14ac:dyDescent="0.25">
      <c r="B10" t="s">
        <v>8</v>
      </c>
      <c r="C10" t="s">
        <v>38</v>
      </c>
      <c r="F10">
        <v>25</v>
      </c>
      <c r="N10">
        <v>226</v>
      </c>
    </row>
    <row r="11" spans="2:14" x14ac:dyDescent="0.25">
      <c r="B11" t="s">
        <v>9</v>
      </c>
      <c r="C11" t="s">
        <v>38</v>
      </c>
      <c r="D11">
        <v>15</v>
      </c>
      <c r="E11" t="s">
        <v>62</v>
      </c>
      <c r="F11">
        <v>5</v>
      </c>
      <c r="H11">
        <v>8286917</v>
      </c>
    </row>
    <row r="12" spans="2:14" x14ac:dyDescent="0.25">
      <c r="K12" s="3"/>
      <c r="L12">
        <v>60</v>
      </c>
    </row>
    <row r="13" spans="2:14" x14ac:dyDescent="0.25">
      <c r="L13">
        <v>50</v>
      </c>
    </row>
    <row r="14" spans="2:14" x14ac:dyDescent="0.25">
      <c r="L14">
        <v>10</v>
      </c>
    </row>
    <row r="16" spans="2:14" x14ac:dyDescent="0.25">
      <c r="B16" s="7" t="s">
        <v>10</v>
      </c>
      <c r="C16" s="7"/>
      <c r="D16" s="7">
        <f>SUM(D2:D15)</f>
        <v>310</v>
      </c>
      <c r="F16" s="7">
        <f>SUM(F2:F15)</f>
        <v>240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190</v>
      </c>
      <c r="F18" s="5">
        <f>F17-F16</f>
        <v>208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17" priority="46" operator="equal">
      <formula>#REF!</formula>
    </cfRule>
    <cfRule type="cellIs" dxfId="16" priority="47" operator="equal">
      <formula>$C$7</formula>
    </cfRule>
    <cfRule type="cellIs" dxfId="15" priority="48" operator="equal">
      <formula>$C$3</formula>
    </cfRule>
    <cfRule type="cellIs" dxfId="14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zoomScale="109" workbookViewId="0">
      <selection activeCell="F25" sqref="F25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43"/>
      <c r="F3" s="43"/>
      <c r="G3" s="32"/>
      <c r="H3" s="43"/>
      <c r="I3" s="52">
        <v>46204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>
        <v>80.010000000000005</v>
      </c>
      <c r="I5" s="20">
        <v>46237</v>
      </c>
      <c r="J5" s="12">
        <f>101.3-Tabla1[[#This Row],[Cantidad Adeudada]]</f>
        <v>21.289999999999992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59.25</v>
      </c>
      <c r="I6" s="20">
        <v>46241</v>
      </c>
      <c r="J6" s="12"/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E13" s="12">
        <f>484-Tabla1[[#This Row],[Cuota a largo plazo]]</f>
        <v>430.23</v>
      </c>
      <c r="F13" s="12">
        <v>53.77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+E13+F13</f>
        <v>484</v>
      </c>
      <c r="F14" s="21"/>
      <c r="G14" s="21">
        <f>SUM(G3:G13)</f>
        <v>0</v>
      </c>
      <c r="H14" s="21">
        <f>SUBTOTAL(109,H3:H13)</f>
        <v>139.26</v>
      </c>
      <c r="I14" s="21"/>
      <c r="J14" s="21">
        <f>SUBTOTAL(109,J3:J13)</f>
        <v>21.289999999999992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>
        <v>46249</v>
      </c>
      <c r="D17" s="23">
        <v>46264</v>
      </c>
      <c r="E17" s="23">
        <v>46280</v>
      </c>
      <c r="F17" s="23">
        <v>46295</v>
      </c>
      <c r="G17" s="23"/>
      <c r="H17" s="23"/>
      <c r="I17" s="23"/>
    </row>
    <row r="18" spans="1:11" ht="15.75" thickBot="1" x14ac:dyDescent="0.3">
      <c r="A18" s="1" t="s">
        <v>31</v>
      </c>
      <c r="B18" s="56"/>
      <c r="C18" s="2"/>
      <c r="D18" s="59"/>
      <c r="E18" s="59"/>
      <c r="F18" s="2"/>
      <c r="G18" s="59"/>
      <c r="H18" s="2"/>
      <c r="I18" s="2"/>
      <c r="J18" s="22">
        <f>SUM(B18:I18)</f>
        <v>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160.54999999999998</v>
      </c>
    </row>
    <row r="21" spans="1:11" ht="15.75" thickBot="1" x14ac:dyDescent="0.3">
      <c r="D21" s="12"/>
      <c r="H21" s="25" t="s">
        <v>34</v>
      </c>
      <c r="I21" s="24">
        <f>+J18-H14-G14</f>
        <v>-139.26</v>
      </c>
    </row>
    <row r="22" spans="1:11" ht="15.75" thickBot="1" x14ac:dyDescent="0.3">
      <c r="D22" s="20"/>
      <c r="H22" s="26" t="s">
        <v>49</v>
      </c>
      <c r="I22" s="24">
        <f>+I21-J14</f>
        <v>-160.54999999999998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F11" sqref="F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-465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2026-08-14T22:52:53Z</dcterms:modified>
</cp:coreProperties>
</file>