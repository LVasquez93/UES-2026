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6\"/>
    </mc:Choice>
  </mc:AlternateContent>
  <xr:revisionPtr revIDLastSave="0" documentId="13_ncr:1_{CD4B29BF-1EA4-4D01-B6F9-7EA2517AD018}" xr6:coauthVersionLast="47" xr6:coauthVersionMax="47" xr10:uidLastSave="{00000000-0000-0000-0000-000000000000}"/>
  <bookViews>
    <workbookView xWindow="-108" yWindow="-108" windowWidth="23256" windowHeight="12576" xr2:uid="{FB526614-3037-4115-BDD6-0ED9B92D9E7C}"/>
  </bookViews>
  <sheets>
    <sheet name="Hoja2" sheetId="2" r:id="rId1"/>
    <sheet name="Hoja3" sheetId="3" r:id="rId2"/>
    <sheet name="Hoja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2" l="1"/>
  <c r="J4" i="2"/>
  <c r="J3" i="2"/>
  <c r="E3" i="3"/>
  <c r="J14" i="3"/>
  <c r="J18" i="3"/>
  <c r="E14" i="3"/>
  <c r="J5" i="2"/>
  <c r="J2" i="2"/>
  <c r="D18" i="2"/>
  <c r="F18" i="2"/>
  <c r="H14" i="3"/>
  <c r="C14" i="3"/>
  <c r="B38" i="4"/>
  <c r="B36" i="4"/>
  <c r="C36" i="4"/>
  <c r="D19" i="2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2" i="4"/>
  <c r="D3" i="4"/>
  <c r="D4" i="4"/>
  <c r="D5" i="4"/>
  <c r="D6" i="4"/>
  <c r="D7" i="4"/>
  <c r="D8" i="4"/>
  <c r="D9" i="4"/>
  <c r="G14" i="3"/>
  <c r="I21" i="3" l="1"/>
  <c r="I20" i="3"/>
  <c r="F20" i="2"/>
  <c r="I22" i="3" l="1"/>
  <c r="D20" i="2" l="1"/>
  <c r="J6" i="2" s="1"/>
  <c r="J8" i="2" s="1"/>
  <c r="K7" i="2" s="1"/>
  <c r="K3" i="2" l="1"/>
  <c r="K4" i="2"/>
  <c r="K6" i="2"/>
  <c r="K5" i="2"/>
  <c r="K2" i="2"/>
</calcChain>
</file>

<file path=xl/sharedStrings.xml><?xml version="1.0" encoding="utf-8"?>
<sst xmlns="http://schemas.openxmlformats.org/spreadsheetml/2006/main" count="85" uniqueCount="66">
  <si>
    <t>Totales</t>
  </si>
  <si>
    <t>Pendiente para siguiente corte</t>
  </si>
  <si>
    <t>Comida</t>
  </si>
  <si>
    <t>Cuido Benja</t>
  </si>
  <si>
    <t>Lunchs</t>
  </si>
  <si>
    <t>Gas</t>
  </si>
  <si>
    <t>Almuerzos</t>
  </si>
  <si>
    <t>Prestamo</t>
  </si>
  <si>
    <t>Cable</t>
  </si>
  <si>
    <t>Luz&amp;agua</t>
  </si>
  <si>
    <t>GASTOS</t>
  </si>
  <si>
    <t>SALARIO</t>
  </si>
  <si>
    <t>SOBRANTE</t>
  </si>
  <si>
    <t>actual</t>
  </si>
  <si>
    <t>Colegio</t>
  </si>
  <si>
    <t>Banco</t>
  </si>
  <si>
    <t>Tarjeta</t>
  </si>
  <si>
    <t>Monto</t>
  </si>
  <si>
    <t>Fecha de pago</t>
  </si>
  <si>
    <t>Cantidad Adeudada</t>
  </si>
  <si>
    <t>VISA CLASICA</t>
  </si>
  <si>
    <t>VISA GOLD</t>
  </si>
  <si>
    <t>Fecha Corte</t>
  </si>
  <si>
    <t>Deuda a largo Plazo</t>
  </si>
  <si>
    <t>Cuota a largo plazo</t>
  </si>
  <si>
    <t>BAC</t>
  </si>
  <si>
    <t xml:space="preserve">VISA </t>
  </si>
  <si>
    <t>MASTERCARD</t>
  </si>
  <si>
    <t>Banco Azul</t>
  </si>
  <si>
    <t>Fecha</t>
  </si>
  <si>
    <t>Saldos</t>
  </si>
  <si>
    <t>Liquido Disponible</t>
  </si>
  <si>
    <t>Deuda Total</t>
  </si>
  <si>
    <t>Corte Actual</t>
  </si>
  <si>
    <t>Davivienda2</t>
  </si>
  <si>
    <t>Davivienda1</t>
  </si>
  <si>
    <t>Efectivo</t>
  </si>
  <si>
    <t>PagoCuenta</t>
  </si>
  <si>
    <t>CuentaAuto</t>
  </si>
  <si>
    <t>MASTERCARD Selectos</t>
  </si>
  <si>
    <t>%</t>
  </si>
  <si>
    <t>MASTERCARD WALTMART</t>
  </si>
  <si>
    <t xml:space="preserve"> </t>
  </si>
  <si>
    <t>Regimen de Ahorro</t>
  </si>
  <si>
    <t>bono</t>
  </si>
  <si>
    <t>aguinaldo</t>
  </si>
  <si>
    <t>Monto sugerido</t>
  </si>
  <si>
    <t>Monto Real</t>
  </si>
  <si>
    <t>Próximo Corte</t>
  </si>
  <si>
    <t>Suscripciones y otros gastos automáticos</t>
  </si>
  <si>
    <t>Banco Agrícola</t>
  </si>
  <si>
    <t>MasterCard CLASICA</t>
  </si>
  <si>
    <t>Cuscatlán</t>
  </si>
  <si>
    <t>GASTOS FIJOS</t>
  </si>
  <si>
    <t>AHORROS</t>
  </si>
  <si>
    <t>DEUDA FIJA</t>
  </si>
  <si>
    <t>SERVICIOS</t>
  </si>
  <si>
    <t>TOTAL</t>
  </si>
  <si>
    <t>TIPO</t>
  </si>
  <si>
    <t>MONTO</t>
  </si>
  <si>
    <t>OCIO</t>
  </si>
  <si>
    <t>Way</t>
  </si>
  <si>
    <t>%Com sep</t>
  </si>
  <si>
    <t>Ahorro</t>
  </si>
  <si>
    <t>CapitalPrestamo</t>
  </si>
  <si>
    <t>Deuda corta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</si>
</sst>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40A]* #,##0.00_-;\-[$$-440A]* #,##0.00_-;_-[$$-440A]* &quot;-&quot;??_-;_-@_-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6">
    <xf numFmtId="0" fontId="0" fillId="0" borderId="0" xfId="0"/>
    <xf numFmtId="0" fontId="0" fillId="2" borderId="1" xfId="0" applyFill="1" applyBorder="1"/>
    <xf numFmtId="164" fontId="0" fillId="0" borderId="1" xfId="0" applyNumberFormat="1" applyBorder="1"/>
    <xf numFmtId="164" fontId="0" fillId="0" borderId="0" xfId="0" applyNumberFormat="1"/>
    <xf numFmtId="14" fontId="0" fillId="0" borderId="0" xfId="0" applyNumberFormat="1"/>
    <xf numFmtId="0" fontId="3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7" borderId="0" xfId="0" applyFont="1" applyFill="1"/>
    <xf numFmtId="0" fontId="1" fillId="8" borderId="2" xfId="0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4" fontId="1" fillId="8" borderId="2" xfId="0" applyNumberFormat="1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7" fillId="0" borderId="0" xfId="0" applyNumberFormat="1" applyFont="1"/>
    <xf numFmtId="164" fontId="0" fillId="0" borderId="4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3" borderId="6" xfId="0" applyFont="1" applyFill="1" applyBorder="1"/>
    <xf numFmtId="0" fontId="1" fillId="10" borderId="6" xfId="0" applyFont="1" applyFill="1" applyBorder="1"/>
    <xf numFmtId="0" fontId="1" fillId="3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1" applyNumberFormat="1" applyFont="1"/>
    <xf numFmtId="165" fontId="0" fillId="0" borderId="8" xfId="1" applyNumberFormat="1" applyFont="1" applyBorder="1" applyAlignment="1">
      <alignment horizontal="center" vertical="center"/>
    </xf>
    <xf numFmtId="164" fontId="9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10" fillId="0" borderId="0" xfId="1" applyNumberFormat="1" applyFont="1"/>
    <xf numFmtId="0" fontId="11" fillId="0" borderId="0" xfId="0" applyFont="1"/>
    <xf numFmtId="164" fontId="11" fillId="0" borderId="0" xfId="0" applyNumberFormat="1" applyFont="1"/>
    <xf numFmtId="16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11" fillId="0" borderId="0" xfId="1" applyNumberFormat="1" applyFont="1"/>
    <xf numFmtId="164" fontId="9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1" fillId="2" borderId="6" xfId="0" applyNumberFormat="1" applyFont="1" applyFill="1" applyBorder="1"/>
    <xf numFmtId="164" fontId="6" fillId="11" borderId="4" xfId="0" applyNumberFormat="1" applyFont="1" applyFill="1" applyBorder="1"/>
    <xf numFmtId="0" fontId="9" fillId="0" borderId="0" xfId="0" applyFont="1"/>
    <xf numFmtId="16" fontId="9" fillId="0" borderId="0" xfId="0" applyNumberFormat="1" applyFont="1" applyAlignment="1">
      <alignment horizontal="center" vertical="center"/>
    </xf>
    <xf numFmtId="165" fontId="9" fillId="0" borderId="0" xfId="1" applyNumberFormat="1" applyFont="1"/>
    <xf numFmtId="164" fontId="0" fillId="0" borderId="9" xfId="0" applyNumberFormat="1" applyBorder="1" applyAlignment="1">
      <alignment horizontal="center" vertical="center"/>
    </xf>
    <xf numFmtId="0" fontId="1" fillId="7" borderId="10" xfId="0" applyFont="1" applyFill="1" applyBorder="1"/>
    <xf numFmtId="164" fontId="0" fillId="0" borderId="5" xfId="0" applyNumberFormat="1" applyBorder="1"/>
    <xf numFmtId="0" fontId="0" fillId="6" borderId="11" xfId="0" applyFill="1" applyBorder="1"/>
    <xf numFmtId="0" fontId="0" fillId="0" borderId="0" xfId="1" applyNumberFormat="1" applyFont="1"/>
    <xf numFmtId="164" fontId="0" fillId="0" borderId="1" xfId="0" quotePrefix="1" applyNumberFormat="1" applyBorder="1"/>
    <xf numFmtId="0" fontId="1" fillId="2" borderId="0" xfId="0" applyFont="1" applyFill="1"/>
    <xf numFmtId="165" fontId="0" fillId="0" borderId="1" xfId="1" applyNumberFormat="1" applyFont="1" applyBorder="1" applyAlignment="1">
      <alignment horizontal="center" vertical="center"/>
    </xf>
    <xf numFmtId="0" fontId="0" fillId="6" borderId="0" xfId="0" applyFill="1"/>
    <xf numFmtId="0" fontId="0" fillId="0" borderId="11" xfId="0" applyBorder="1"/>
    <xf numFmtId="164" fontId="1" fillId="2" borderId="0" xfId="0" applyNumberFormat="1" applyFont="1" applyFill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29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164" formatCode="_-[$$-440A]* #,##0.00_-;\-[$$-440A]* #,##0.00_-;_-[$$-440A]* &quot;-&quot;??_-;_-@_-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$-440A]* #,##0.00_-;\-[$$-440A]* #,##0.00_-;_-[$$-440A]* &quot;-&quot;??_-;_-@_-"/>
    </dxf>
    <dxf>
      <numFmt numFmtId="164" formatCode="_-[$$-440A]* #,##0.00_-;\-[$$-440A]* #,##0.00_-;_-[$$-440A]* &quot;-&quot;??_-;_-@_-"/>
      <alignment horizontal="center" vertical="center" textRotation="0" wrapText="0" indent="0" justifyLastLine="0" shrinkToFit="0" readingOrder="0"/>
    </dxf>
    <dxf>
      <numFmt numFmtId="164" formatCode="_-[$$-440A]* #,##0.00_-;\-[$$-440A]* #,##0.00_-;_-[$$-440A]* &quot;-&quot;??_-;_-@_-"/>
      <alignment horizontal="center" vertical="center" textRotation="0" indent="0" justifyLastLine="0" shrinkToFit="0" readingOrder="0"/>
    </dxf>
    <dxf>
      <numFmt numFmtId="164" formatCode="_-[$$-440A]* #,##0.00_-;\-[$$-440A]* #,##0.00_-;_-[$$-440A]* &quot;-&quot;??_-;_-@_-"/>
      <alignment horizontal="center" vertical="center" textRotation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numFmt numFmtId="164" formatCode="_-[$$-440A]* #,##0.00_-;\-[$$-440A]* #,##0.00_-;_-[$$-440A]* &quot;-&quot;??_-;_-@_-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550F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0B394-EFA3-4F1F-B95B-C46D43801A73}" name="Tabla1" displayName="Tabla1" ref="A2:K14" totalsRowShown="0" headerRowBorderDxfId="28" tableBorderDxfId="27">
  <autoFilter ref="A2:K14" xr:uid="{34D0B394-EFA3-4F1F-B95B-C46D43801A73}"/>
  <sortState xmlns:xlrd2="http://schemas.microsoft.com/office/spreadsheetml/2017/richdata2" ref="A3:K14">
    <sortCondition ref="D3:D14"/>
  </sortState>
  <tableColumns count="11">
    <tableColumn id="1" xr3:uid="{4E2F1548-5DA7-4ADC-946F-053ED807460A}" name="Banco"/>
    <tableColumn id="2" xr3:uid="{11D77EA7-239F-47E1-9378-FFBA07ACDD06}" name="Tarjeta"/>
    <tableColumn id="3" xr3:uid="{EFA2D810-AA01-4F56-B9AC-1F88A60DCC7F}" name="Monto" dataDxfId="26"/>
    <tableColumn id="4" xr3:uid="{B3C14A42-22A4-422A-B5B2-35BF05E35EEF}" name="Fecha Corte" dataDxfId="25"/>
    <tableColumn id="5" xr3:uid="{6869DC75-BE3A-4901-B724-828BF9F9A7D0}" name="Deuda a largo Plazo" dataDxfId="24">
      <calculatedColumnFormula>186.68-48</calculatedColumnFormula>
    </tableColumn>
    <tableColumn id="10" xr3:uid="{2810DEE2-032A-4175-802A-5F857D20294D}" name="Cuota a largo plazo" dataDxfId="23"/>
    <tableColumn id="13" xr3:uid="{F7FEE37A-0726-482F-99D8-F9C07724EC3E}" name="Suscripciones y otros gastos automáticos" dataDxfId="22"/>
    <tableColumn id="6" xr3:uid="{F6732F4E-388B-4DFE-91E1-BA3615EF330A}" name="Cantidad Adeudada" dataDxfId="21"/>
    <tableColumn id="7" xr3:uid="{1F40E7A5-C692-4043-8A55-5DC3E0A18EC9}" name="Fecha de pago" dataDxfId="20"/>
    <tableColumn id="8" xr3:uid="{186BC069-E422-445A-BA99-6BBE52ACA160}" name="Pendiente para siguiente corte" dataDxfId="19"/>
    <tableColumn id="9" xr3:uid="{ABA9A903-D4C5-4280-9E9A-38F020209A6A}" name="%" dataDxfId="18" dataCellStyle="Porcentaje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E2A9-9218-4E10-883D-DF66D771FC39}">
  <dimension ref="B1:K39"/>
  <sheetViews>
    <sheetView tabSelected="1" zoomScale="121" workbookViewId="0">
      <selection activeCell="D14" sqref="D14"/>
    </sheetView>
  </sheetViews>
  <sheetFormatPr baseColWidth="10" defaultRowHeight="14.4" x14ac:dyDescent="0.3"/>
  <cols>
    <col min="2" max="2" width="18.6640625" bestFit="1" customWidth="1"/>
    <col min="3" max="3" width="10.6640625" customWidth="1"/>
    <col min="5" max="5" width="3.109375" customWidth="1"/>
    <col min="6" max="6" width="10.88671875" bestFit="1" customWidth="1"/>
    <col min="7" max="7" width="3.109375" customWidth="1"/>
    <col min="9" max="9" width="13.109375" bestFit="1" customWidth="1"/>
  </cols>
  <sheetData>
    <row r="1" spans="2:11" x14ac:dyDescent="0.3">
      <c r="B1" s="13" t="s">
        <v>13</v>
      </c>
      <c r="C1" s="13"/>
      <c r="D1" s="13">
        <v>15</v>
      </c>
      <c r="F1" s="13">
        <v>30</v>
      </c>
      <c r="I1" s="59" t="s">
        <v>58</v>
      </c>
      <c r="J1" s="59" t="s">
        <v>59</v>
      </c>
      <c r="K1" s="59" t="s">
        <v>40</v>
      </c>
    </row>
    <row r="2" spans="2:11" x14ac:dyDescent="0.3">
      <c r="B2" s="9" t="s">
        <v>2</v>
      </c>
      <c r="C2" s="9" t="s">
        <v>16</v>
      </c>
      <c r="D2" s="8">
        <v>60</v>
      </c>
      <c r="F2" s="8">
        <v>60</v>
      </c>
      <c r="I2" s="9" t="s">
        <v>53</v>
      </c>
      <c r="J2" s="11">
        <f>SUM(D2:F6)</f>
        <v>440</v>
      </c>
      <c r="K2" s="60">
        <f>100/$J$8*J2/100</f>
        <v>0.46413502109704646</v>
      </c>
    </row>
    <row r="3" spans="2:11" x14ac:dyDescent="0.3">
      <c r="B3" s="9" t="s">
        <v>3</v>
      </c>
      <c r="C3" s="9" t="s">
        <v>36</v>
      </c>
      <c r="D3" s="8">
        <v>50</v>
      </c>
      <c r="F3" s="8">
        <v>50</v>
      </c>
      <c r="I3" s="9" t="s">
        <v>54</v>
      </c>
      <c r="J3" s="11">
        <f>+D9</f>
        <v>50</v>
      </c>
      <c r="K3" s="60">
        <f t="shared" ref="K3:K7" si="0">100/$J$8*J3/100</f>
        <v>5.2742616033755275E-2</v>
      </c>
    </row>
    <row r="4" spans="2:11" x14ac:dyDescent="0.3">
      <c r="B4" s="9" t="s">
        <v>4</v>
      </c>
      <c r="C4" s="9" t="s">
        <v>16</v>
      </c>
      <c r="D4" s="8">
        <v>10</v>
      </c>
      <c r="F4" s="8">
        <v>10</v>
      </c>
      <c r="I4" s="9" t="s">
        <v>55</v>
      </c>
      <c r="J4" s="11">
        <f>+F8+D10</f>
        <v>267</v>
      </c>
      <c r="K4" s="60">
        <f t="shared" si="0"/>
        <v>0.28164556962025317</v>
      </c>
    </row>
    <row r="5" spans="2:11" x14ac:dyDescent="0.3">
      <c r="B5" s="9" t="s">
        <v>5</v>
      </c>
      <c r="C5" s="9" t="s">
        <v>16</v>
      </c>
      <c r="D5" s="8">
        <v>40</v>
      </c>
      <c r="F5" s="8">
        <v>40</v>
      </c>
      <c r="I5" s="9" t="s">
        <v>56</v>
      </c>
      <c r="J5" s="11">
        <f>SUM(D11:F13)</f>
        <v>55</v>
      </c>
      <c r="K5" s="60">
        <f t="shared" si="0"/>
        <v>5.8016877637130808E-2</v>
      </c>
    </row>
    <row r="6" spans="2:11" x14ac:dyDescent="0.3">
      <c r="B6" s="9" t="s">
        <v>6</v>
      </c>
      <c r="C6" s="9" t="s">
        <v>36</v>
      </c>
      <c r="D6" s="8">
        <v>60</v>
      </c>
      <c r="F6" s="8">
        <v>60</v>
      </c>
      <c r="I6" s="9" t="s">
        <v>60</v>
      </c>
      <c r="J6" s="11">
        <f>D20+F20</f>
        <v>82</v>
      </c>
      <c r="K6" s="60">
        <f t="shared" si="0"/>
        <v>8.6497890295358648E-2</v>
      </c>
    </row>
    <row r="7" spans="2:11" x14ac:dyDescent="0.3">
      <c r="D7" s="56"/>
      <c r="F7" s="56"/>
      <c r="I7" s="62" t="s">
        <v>65</v>
      </c>
      <c r="J7" s="12">
        <f>+D14</f>
        <v>54</v>
      </c>
      <c r="K7" s="60">
        <f t="shared" si="0"/>
        <v>5.6962025316455694E-2</v>
      </c>
    </row>
    <row r="8" spans="2:11" x14ac:dyDescent="0.3">
      <c r="B8" t="s">
        <v>7</v>
      </c>
      <c r="C8" t="s">
        <v>38</v>
      </c>
      <c r="D8" s="56">
        <v>0</v>
      </c>
      <c r="F8" s="56">
        <v>167</v>
      </c>
      <c r="I8" s="59" t="s">
        <v>57</v>
      </c>
      <c r="J8" s="63">
        <f>SUM(J2:J7)</f>
        <v>948</v>
      </c>
    </row>
    <row r="9" spans="2:11" x14ac:dyDescent="0.3">
      <c r="B9" t="s">
        <v>63</v>
      </c>
      <c r="C9" t="s">
        <v>38</v>
      </c>
      <c r="D9" s="61">
        <v>50</v>
      </c>
      <c r="F9" s="61"/>
    </row>
    <row r="10" spans="2:11" x14ac:dyDescent="0.3">
      <c r="B10" t="s">
        <v>64</v>
      </c>
      <c r="C10" t="s">
        <v>38</v>
      </c>
      <c r="D10" s="61">
        <v>100</v>
      </c>
      <c r="F10" s="61"/>
    </row>
    <row r="11" spans="2:11" x14ac:dyDescent="0.3">
      <c r="B11" t="s">
        <v>14</v>
      </c>
      <c r="C11" t="s">
        <v>36</v>
      </c>
      <c r="F11">
        <v>10</v>
      </c>
    </row>
    <row r="12" spans="2:11" x14ac:dyDescent="0.3">
      <c r="B12" t="s">
        <v>8</v>
      </c>
      <c r="C12" t="s">
        <v>37</v>
      </c>
      <c r="F12">
        <v>25</v>
      </c>
    </row>
    <row r="13" spans="2:11" x14ac:dyDescent="0.3">
      <c r="B13" t="s">
        <v>9</v>
      </c>
      <c r="C13" t="s">
        <v>37</v>
      </c>
      <c r="D13">
        <v>15</v>
      </c>
      <c r="F13">
        <v>5</v>
      </c>
    </row>
    <row r="14" spans="2:11" x14ac:dyDescent="0.3">
      <c r="B14" t="s">
        <v>61</v>
      </c>
      <c r="D14">
        <v>54</v>
      </c>
      <c r="H14">
        <v>8286917</v>
      </c>
    </row>
    <row r="15" spans="2:11" x14ac:dyDescent="0.3">
      <c r="K15" s="3"/>
    </row>
    <row r="18" spans="2:6" x14ac:dyDescent="0.3">
      <c r="B18" s="7" t="s">
        <v>10</v>
      </c>
      <c r="C18" s="7"/>
      <c r="D18" s="7">
        <f>SUM(D2:D17)</f>
        <v>439</v>
      </c>
      <c r="F18" s="7">
        <f>SUM(F2:F17)</f>
        <v>427</v>
      </c>
    </row>
    <row r="19" spans="2:6" x14ac:dyDescent="0.3">
      <c r="B19" s="6" t="s">
        <v>11</v>
      </c>
      <c r="C19" s="6"/>
      <c r="D19" s="6">
        <f>250+250</f>
        <v>500</v>
      </c>
      <c r="F19" s="6">
        <v>448</v>
      </c>
    </row>
    <row r="20" spans="2:6" x14ac:dyDescent="0.3">
      <c r="B20" s="5" t="s">
        <v>12</v>
      </c>
      <c r="C20" s="5"/>
      <c r="D20" s="5">
        <f>D19-D18</f>
        <v>61</v>
      </c>
      <c r="F20" s="5">
        <f>F19-F18</f>
        <v>21</v>
      </c>
    </row>
    <row r="21" spans="2:6" x14ac:dyDescent="0.3">
      <c r="D21" t="s">
        <v>42</v>
      </c>
    </row>
    <row r="39" ht="30.75" customHeight="1" x14ac:dyDescent="0.3"/>
  </sheetData>
  <conditionalFormatting sqref="C1:C1048576">
    <cfRule type="cellIs" dxfId="17" priority="50" operator="equal">
      <formula>#REF!</formula>
    </cfRule>
    <cfRule type="cellIs" dxfId="16" priority="51" operator="equal">
      <formula>#REF!</formula>
    </cfRule>
    <cfRule type="cellIs" dxfId="15" priority="52" operator="equal">
      <formula>$C$3</formula>
    </cfRule>
    <cfRule type="cellIs" dxfId="14" priority="53" operator="equal">
      <formula>$C$2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3D18-F407-4702-B159-A2C7E22E2016}">
  <dimension ref="A1:N131"/>
  <sheetViews>
    <sheetView topLeftCell="A2" zoomScale="120" workbookViewId="0">
      <selection activeCell="J7" sqref="J7"/>
    </sheetView>
  </sheetViews>
  <sheetFormatPr baseColWidth="10" defaultRowHeight="14.4" x14ac:dyDescent="0.3"/>
  <cols>
    <col min="1" max="1" width="15.88671875" bestFit="1" customWidth="1"/>
    <col min="2" max="2" width="23.5546875" bestFit="1" customWidth="1"/>
    <col min="3" max="3" width="13" style="3" bestFit="1" customWidth="1"/>
    <col min="4" max="4" width="13.5546875" style="19" customWidth="1"/>
    <col min="5" max="5" width="14.33203125" style="12" customWidth="1"/>
    <col min="6" max="6" width="15.88671875" style="12" customWidth="1"/>
    <col min="7" max="8" width="16.109375" style="3" customWidth="1"/>
    <col min="9" max="9" width="13.6640625" style="10" customWidth="1"/>
    <col min="10" max="10" width="17.44140625" style="12" customWidth="1"/>
    <col min="11" max="11" width="7.109375" style="30" bestFit="1" customWidth="1"/>
  </cols>
  <sheetData>
    <row r="1" spans="1:14" ht="15" thickBot="1" x14ac:dyDescent="0.35"/>
    <row r="2" spans="1:14" ht="43.8" thickBot="1" x14ac:dyDescent="0.35">
      <c r="A2" s="14" t="s">
        <v>15</v>
      </c>
      <c r="B2" s="14" t="s">
        <v>16</v>
      </c>
      <c r="C2" s="15" t="s">
        <v>17</v>
      </c>
      <c r="D2" s="16" t="s">
        <v>22</v>
      </c>
      <c r="E2" s="17" t="s">
        <v>23</v>
      </c>
      <c r="F2" s="17" t="s">
        <v>24</v>
      </c>
      <c r="G2" s="18" t="s">
        <v>49</v>
      </c>
      <c r="H2" s="27" t="s">
        <v>19</v>
      </c>
      <c r="I2" s="14" t="s">
        <v>18</v>
      </c>
      <c r="J2" s="28" t="s">
        <v>1</v>
      </c>
      <c r="K2" s="31" t="s">
        <v>40</v>
      </c>
    </row>
    <row r="3" spans="1:14" s="50" customFormat="1" x14ac:dyDescent="0.3">
      <c r="A3" s="50" t="s">
        <v>35</v>
      </c>
      <c r="B3" s="50" t="s">
        <v>27</v>
      </c>
      <c r="C3" s="32">
        <v>2100</v>
      </c>
      <c r="D3" s="51">
        <v>45815</v>
      </c>
      <c r="E3" s="12">
        <f>430.23-Tabla1[[#This Row],[Cuota a largo plazo]]</f>
        <v>376.46000000000004</v>
      </c>
      <c r="F3" s="12">
        <v>53.77</v>
      </c>
      <c r="G3" s="32"/>
      <c r="H3" s="43"/>
      <c r="I3" s="51">
        <v>46296</v>
      </c>
      <c r="J3" s="43"/>
      <c r="K3" s="52"/>
    </row>
    <row r="4" spans="1:14" s="33" customFormat="1" x14ac:dyDescent="0.3">
      <c r="A4" s="33" t="s">
        <v>50</v>
      </c>
      <c r="B4" s="33" t="s">
        <v>20</v>
      </c>
      <c r="C4" s="34">
        <v>700</v>
      </c>
      <c r="D4" s="35">
        <v>45817</v>
      </c>
      <c r="E4" s="36"/>
      <c r="F4" s="36"/>
      <c r="G4" s="34"/>
      <c r="H4" s="34"/>
      <c r="I4" s="35">
        <v>46298</v>
      </c>
      <c r="J4" s="36"/>
      <c r="K4" s="37"/>
    </row>
    <row r="5" spans="1:14" x14ac:dyDescent="0.3">
      <c r="A5" t="s">
        <v>50</v>
      </c>
      <c r="B5" t="s">
        <v>21</v>
      </c>
      <c r="C5" s="3">
        <v>2000</v>
      </c>
      <c r="D5" s="20">
        <v>45817</v>
      </c>
      <c r="H5" s="12">
        <v>187.79</v>
      </c>
      <c r="I5" s="20">
        <v>46298</v>
      </c>
      <c r="J5" s="12">
        <v>13.65</v>
      </c>
      <c r="N5" s="4"/>
    </row>
    <row r="6" spans="1:14" s="29" customFormat="1" x14ac:dyDescent="0.3">
      <c r="A6"/>
      <c r="B6" t="s">
        <v>51</v>
      </c>
      <c r="C6" s="3">
        <v>840</v>
      </c>
      <c r="D6" s="20">
        <v>45817</v>
      </c>
      <c r="E6" s="12"/>
      <c r="F6" s="12"/>
      <c r="G6" s="12"/>
      <c r="H6" s="12">
        <v>157.4</v>
      </c>
      <c r="I6" s="20">
        <v>46302</v>
      </c>
      <c r="J6" s="12">
        <v>50</v>
      </c>
      <c r="K6" s="30"/>
    </row>
    <row r="7" spans="1:14" x14ac:dyDescent="0.3">
      <c r="A7" t="s">
        <v>28</v>
      </c>
      <c r="B7" t="s">
        <v>21</v>
      </c>
      <c r="C7" s="3">
        <v>1925</v>
      </c>
      <c r="D7" s="20">
        <v>45817</v>
      </c>
      <c r="G7" s="12"/>
      <c r="H7" s="12"/>
      <c r="I7" s="20">
        <v>45874</v>
      </c>
      <c r="K7" s="30">
        <v>0.18</v>
      </c>
    </row>
    <row r="8" spans="1:14" s="33" customFormat="1" x14ac:dyDescent="0.3">
      <c r="A8" s="33" t="s">
        <v>34</v>
      </c>
      <c r="B8" s="33" t="s">
        <v>26</v>
      </c>
      <c r="C8" s="34">
        <v>1600</v>
      </c>
      <c r="D8" s="35">
        <v>45822</v>
      </c>
      <c r="E8" s="36"/>
      <c r="F8" s="36"/>
      <c r="G8" s="34"/>
      <c r="H8" s="34"/>
      <c r="I8" s="35">
        <v>46303</v>
      </c>
      <c r="J8" s="36"/>
      <c r="K8" s="37"/>
    </row>
    <row r="9" spans="1:14" s="50" customFormat="1" x14ac:dyDescent="0.3">
      <c r="A9" s="50" t="s">
        <v>25</v>
      </c>
      <c r="B9" s="50" t="s">
        <v>21</v>
      </c>
      <c r="C9" s="32">
        <v>1500</v>
      </c>
      <c r="D9" s="51">
        <v>45826</v>
      </c>
      <c r="E9" s="43"/>
      <c r="F9" s="43"/>
      <c r="G9" s="32"/>
      <c r="H9" s="32"/>
      <c r="I9" s="51">
        <v>45943</v>
      </c>
      <c r="J9" s="43"/>
      <c r="K9" s="52"/>
    </row>
    <row r="10" spans="1:14" s="29" customFormat="1" x14ac:dyDescent="0.3">
      <c r="A10" t="s">
        <v>25</v>
      </c>
      <c r="B10" t="s">
        <v>41</v>
      </c>
      <c r="C10" s="3">
        <v>2000</v>
      </c>
      <c r="D10" s="20">
        <v>45826</v>
      </c>
      <c r="E10" s="12"/>
      <c r="F10" s="12"/>
      <c r="G10" s="12"/>
      <c r="H10" s="12"/>
      <c r="I10" s="20">
        <v>45943</v>
      </c>
      <c r="J10" s="12"/>
      <c r="K10" s="30"/>
    </row>
    <row r="11" spans="1:14" s="33" customFormat="1" x14ac:dyDescent="0.3">
      <c r="A11" s="33" t="s">
        <v>25</v>
      </c>
      <c r="B11" s="33" t="s">
        <v>39</v>
      </c>
      <c r="C11" s="34">
        <v>1500</v>
      </c>
      <c r="D11" s="35">
        <v>45829</v>
      </c>
      <c r="E11" s="36"/>
      <c r="F11" s="36"/>
      <c r="G11" s="34"/>
      <c r="H11" s="34"/>
      <c r="I11" s="35">
        <v>46311</v>
      </c>
      <c r="J11" s="36"/>
      <c r="K11" s="37"/>
      <c r="M11" s="34"/>
    </row>
    <row r="12" spans="1:14" s="38" customFormat="1" x14ac:dyDescent="0.3">
      <c r="A12" s="38" t="s">
        <v>52</v>
      </c>
      <c r="B12" s="38" t="s">
        <v>51</v>
      </c>
      <c r="C12" s="39">
        <v>770</v>
      </c>
      <c r="D12" s="40">
        <v>45829</v>
      </c>
      <c r="E12" s="41"/>
      <c r="F12" s="41"/>
      <c r="G12" s="41"/>
      <c r="H12" s="39"/>
      <c r="I12" s="40">
        <v>45885</v>
      </c>
      <c r="J12" s="41"/>
      <c r="K12" s="42"/>
    </row>
    <row r="13" spans="1:14" x14ac:dyDescent="0.3">
      <c r="A13" s="38" t="s">
        <v>52</v>
      </c>
      <c r="B13" s="38" t="s">
        <v>51</v>
      </c>
      <c r="D13" s="40">
        <v>45798</v>
      </c>
      <c r="G13" s="12"/>
      <c r="I13" s="20">
        <v>46302</v>
      </c>
    </row>
    <row r="14" spans="1:14" x14ac:dyDescent="0.3">
      <c r="A14" t="s">
        <v>0</v>
      </c>
      <c r="C14" s="21">
        <f>SUBTOTAL(109,C3:C13)</f>
        <v>14935</v>
      </c>
      <c r="D14" s="20"/>
      <c r="E14" s="21">
        <f>+E3+F3</f>
        <v>430.23</v>
      </c>
      <c r="F14" s="21"/>
      <c r="G14" s="21">
        <f>SUM(G3:G13)</f>
        <v>0</v>
      </c>
      <c r="H14" s="21">
        <f>SUBTOTAL(109,H3:H13)</f>
        <v>345.19</v>
      </c>
      <c r="I14" s="21"/>
      <c r="J14" s="21">
        <f>SUBTOTAL(109,J3:J13)</f>
        <v>63.65</v>
      </c>
      <c r="N14" s="3"/>
    </row>
    <row r="15" spans="1:14" x14ac:dyDescent="0.3">
      <c r="D15" s="20"/>
      <c r="I15" s="20"/>
      <c r="N15" s="3"/>
    </row>
    <row r="16" spans="1:14" x14ac:dyDescent="0.3">
      <c r="D16" s="20"/>
      <c r="I16" s="20"/>
    </row>
    <row r="17" spans="1:11" ht="15" thickBot="1" x14ac:dyDescent="0.35">
      <c r="A17" s="1" t="s">
        <v>29</v>
      </c>
      <c r="B17" s="9" t="s">
        <v>31</v>
      </c>
      <c r="C17" s="23"/>
      <c r="D17" s="23">
        <v>46310</v>
      </c>
      <c r="E17" s="23">
        <v>46326</v>
      </c>
      <c r="F17" s="23" t="s">
        <v>62</v>
      </c>
      <c r="G17" s="23"/>
      <c r="H17" s="23"/>
      <c r="I17" s="23"/>
    </row>
    <row r="18" spans="1:11" ht="15" thickBot="1" x14ac:dyDescent="0.35">
      <c r="A18" s="1" t="s">
        <v>30</v>
      </c>
      <c r="B18" s="55">
        <v>190</v>
      </c>
      <c r="C18" s="2"/>
      <c r="D18" s="58"/>
      <c r="E18" s="58">
        <v>20</v>
      </c>
      <c r="F18" s="2">
        <v>370</v>
      </c>
      <c r="G18" s="58"/>
      <c r="H18" s="2"/>
      <c r="I18" s="2"/>
      <c r="J18" s="22">
        <f>SUM(B18:I18)</f>
        <v>580</v>
      </c>
    </row>
    <row r="19" spans="1:11" ht="15" thickBot="1" x14ac:dyDescent="0.35">
      <c r="C19" s="11"/>
      <c r="D19" s="11"/>
      <c r="E19" s="53"/>
      <c r="F19" s="53"/>
      <c r="G19" s="2"/>
      <c r="H19" s="2"/>
      <c r="I19" s="20"/>
    </row>
    <row r="20" spans="1:11" ht="15" thickBot="1" x14ac:dyDescent="0.35">
      <c r="D20" s="12"/>
      <c r="H20" s="54" t="s">
        <v>32</v>
      </c>
      <c r="I20" s="24">
        <f>+H14+J14+G14</f>
        <v>408.84</v>
      </c>
    </row>
    <row r="21" spans="1:11" ht="15" thickBot="1" x14ac:dyDescent="0.35">
      <c r="D21" s="12"/>
      <c r="H21" s="25" t="s">
        <v>33</v>
      </c>
      <c r="I21" s="24">
        <f>+J18-H14-G14</f>
        <v>234.81</v>
      </c>
    </row>
    <row r="22" spans="1:11" ht="15" thickBot="1" x14ac:dyDescent="0.35">
      <c r="D22" s="20"/>
      <c r="H22" s="26" t="s">
        <v>48</v>
      </c>
      <c r="I22" s="24">
        <f>+I21-J14</f>
        <v>171.16</v>
      </c>
    </row>
    <row r="23" spans="1:11" x14ac:dyDescent="0.3">
      <c r="D23" s="12"/>
      <c r="I23" s="20"/>
    </row>
    <row r="24" spans="1:11" x14ac:dyDescent="0.3">
      <c r="D24" s="12"/>
      <c r="E24" s="20"/>
      <c r="G24" s="30"/>
      <c r="H24"/>
      <c r="I24"/>
      <c r="J24"/>
      <c r="K24"/>
    </row>
    <row r="25" spans="1:11" x14ac:dyDescent="0.3">
      <c r="D25" s="12"/>
      <c r="E25" s="20"/>
      <c r="G25" s="30"/>
      <c r="H25"/>
      <c r="I25"/>
      <c r="J25"/>
      <c r="K25"/>
    </row>
    <row r="26" spans="1:11" x14ac:dyDescent="0.3">
      <c r="D26" s="12"/>
      <c r="E26" s="20"/>
      <c r="G26" s="30"/>
      <c r="H26"/>
      <c r="I26"/>
      <c r="J26"/>
      <c r="K26"/>
    </row>
    <row r="27" spans="1:11" x14ac:dyDescent="0.3">
      <c r="D27" s="12"/>
      <c r="I27" s="20"/>
    </row>
    <row r="28" spans="1:11" x14ac:dyDescent="0.3">
      <c r="D28" s="3"/>
      <c r="I28" s="20"/>
    </row>
    <row r="29" spans="1:11" x14ac:dyDescent="0.3">
      <c r="D29" s="3"/>
      <c r="I29" s="20"/>
    </row>
    <row r="30" spans="1:11" x14ac:dyDescent="0.3">
      <c r="D30" s="3"/>
      <c r="I30" s="20"/>
    </row>
    <row r="31" spans="1:11" x14ac:dyDescent="0.3">
      <c r="D31" s="3"/>
      <c r="I31" s="20"/>
    </row>
    <row r="32" spans="1:11" x14ac:dyDescent="0.3">
      <c r="D32" s="3"/>
      <c r="I32" s="20"/>
    </row>
    <row r="33" spans="4:9" x14ac:dyDescent="0.3">
      <c r="D33" s="3"/>
      <c r="I33" s="20"/>
    </row>
    <row r="34" spans="4:9" x14ac:dyDescent="0.3">
      <c r="D34" s="3"/>
      <c r="I34" s="20"/>
    </row>
    <row r="35" spans="4:9" x14ac:dyDescent="0.3">
      <c r="D35" s="3"/>
      <c r="I35" s="20"/>
    </row>
    <row r="36" spans="4:9" x14ac:dyDescent="0.3">
      <c r="D36" s="3"/>
      <c r="I36" s="20"/>
    </row>
    <row r="37" spans="4:9" x14ac:dyDescent="0.3">
      <c r="D37" s="3"/>
      <c r="I37" s="20"/>
    </row>
    <row r="38" spans="4:9" x14ac:dyDescent="0.3">
      <c r="D38" s="3"/>
      <c r="I38" s="20"/>
    </row>
    <row r="39" spans="4:9" x14ac:dyDescent="0.3">
      <c r="D39" s="3"/>
      <c r="I39" s="20"/>
    </row>
    <row r="40" spans="4:9" x14ac:dyDescent="0.3">
      <c r="D40" s="3"/>
      <c r="I40" s="20"/>
    </row>
    <row r="41" spans="4:9" x14ac:dyDescent="0.3">
      <c r="D41" s="3"/>
      <c r="I41" s="20"/>
    </row>
    <row r="42" spans="4:9" x14ac:dyDescent="0.3">
      <c r="D42" s="3"/>
      <c r="I42" s="20"/>
    </row>
    <row r="43" spans="4:9" x14ac:dyDescent="0.3">
      <c r="D43" s="12"/>
      <c r="I43" s="20"/>
    </row>
    <row r="44" spans="4:9" x14ac:dyDescent="0.3">
      <c r="D44" s="20"/>
      <c r="I44" s="20"/>
    </row>
    <row r="45" spans="4:9" x14ac:dyDescent="0.3">
      <c r="D45" s="20"/>
      <c r="I45" s="20"/>
    </row>
    <row r="46" spans="4:9" x14ac:dyDescent="0.3">
      <c r="D46" s="20"/>
      <c r="I46" s="20"/>
    </row>
    <row r="47" spans="4:9" x14ac:dyDescent="0.3">
      <c r="D47" s="20"/>
      <c r="I47" s="20"/>
    </row>
    <row r="48" spans="4:9" x14ac:dyDescent="0.3">
      <c r="D48" s="20"/>
      <c r="I48" s="20"/>
    </row>
    <row r="49" spans="4:9" x14ac:dyDescent="0.3">
      <c r="D49" s="20"/>
      <c r="I49" s="20"/>
    </row>
    <row r="50" spans="4:9" x14ac:dyDescent="0.3">
      <c r="D50" s="20"/>
      <c r="I50" s="20"/>
    </row>
    <row r="51" spans="4:9" x14ac:dyDescent="0.3">
      <c r="D51" s="20"/>
      <c r="I51" s="20"/>
    </row>
    <row r="52" spans="4:9" x14ac:dyDescent="0.3">
      <c r="D52" s="20"/>
      <c r="I52" s="20"/>
    </row>
    <row r="53" spans="4:9" x14ac:dyDescent="0.3">
      <c r="D53" s="20"/>
      <c r="I53" s="20"/>
    </row>
    <row r="54" spans="4:9" x14ac:dyDescent="0.3">
      <c r="D54" s="20"/>
      <c r="I54" s="20"/>
    </row>
    <row r="55" spans="4:9" x14ac:dyDescent="0.3">
      <c r="D55" s="20"/>
      <c r="I55" s="20"/>
    </row>
    <row r="56" spans="4:9" x14ac:dyDescent="0.3">
      <c r="D56" s="20"/>
      <c r="I56" s="20"/>
    </row>
    <row r="57" spans="4:9" x14ac:dyDescent="0.3">
      <c r="D57" s="20"/>
      <c r="I57" s="20"/>
    </row>
    <row r="58" spans="4:9" x14ac:dyDescent="0.3">
      <c r="D58" s="20"/>
      <c r="I58" s="20"/>
    </row>
    <row r="59" spans="4:9" x14ac:dyDescent="0.3">
      <c r="D59" s="20"/>
      <c r="I59" s="20"/>
    </row>
    <row r="60" spans="4:9" x14ac:dyDescent="0.3">
      <c r="D60" s="20"/>
      <c r="I60" s="20"/>
    </row>
    <row r="61" spans="4:9" x14ac:dyDescent="0.3">
      <c r="D61" s="20"/>
      <c r="I61" s="20"/>
    </row>
    <row r="62" spans="4:9" x14ac:dyDescent="0.3">
      <c r="D62" s="20"/>
      <c r="I62" s="20"/>
    </row>
    <row r="63" spans="4:9" x14ac:dyDescent="0.3">
      <c r="D63" s="20"/>
      <c r="I63" s="20"/>
    </row>
    <row r="64" spans="4:9" x14ac:dyDescent="0.3">
      <c r="D64" s="20"/>
      <c r="I64" s="20"/>
    </row>
    <row r="65" spans="4:9" x14ac:dyDescent="0.3">
      <c r="D65" s="20"/>
      <c r="I65" s="20"/>
    </row>
    <row r="66" spans="4:9" x14ac:dyDescent="0.3">
      <c r="D66" s="20"/>
      <c r="I66" s="20"/>
    </row>
    <row r="67" spans="4:9" x14ac:dyDescent="0.3">
      <c r="D67" s="20"/>
      <c r="I67" s="20"/>
    </row>
    <row r="68" spans="4:9" x14ac:dyDescent="0.3">
      <c r="D68" s="20"/>
      <c r="I68" s="20"/>
    </row>
    <row r="69" spans="4:9" x14ac:dyDescent="0.3">
      <c r="D69" s="20"/>
      <c r="I69" s="20"/>
    </row>
    <row r="70" spans="4:9" x14ac:dyDescent="0.3">
      <c r="D70" s="20"/>
      <c r="I70" s="20"/>
    </row>
    <row r="71" spans="4:9" x14ac:dyDescent="0.3">
      <c r="D71" s="20"/>
      <c r="I71" s="20"/>
    </row>
    <row r="72" spans="4:9" x14ac:dyDescent="0.3">
      <c r="D72" s="20"/>
      <c r="I72" s="20"/>
    </row>
    <row r="73" spans="4:9" x14ac:dyDescent="0.3">
      <c r="D73" s="20"/>
      <c r="I73" s="20"/>
    </row>
    <row r="74" spans="4:9" x14ac:dyDescent="0.3">
      <c r="D74" s="20"/>
      <c r="I74" s="20"/>
    </row>
    <row r="75" spans="4:9" x14ac:dyDescent="0.3">
      <c r="D75" s="20"/>
      <c r="I75" s="20"/>
    </row>
    <row r="76" spans="4:9" x14ac:dyDescent="0.3">
      <c r="D76" s="20"/>
      <c r="I76" s="20"/>
    </row>
    <row r="77" spans="4:9" x14ac:dyDescent="0.3">
      <c r="D77" s="20"/>
      <c r="I77" s="20"/>
    </row>
    <row r="78" spans="4:9" x14ac:dyDescent="0.3">
      <c r="D78" s="20"/>
      <c r="I78" s="20"/>
    </row>
    <row r="79" spans="4:9" x14ac:dyDescent="0.3">
      <c r="D79" s="20"/>
      <c r="I79" s="20"/>
    </row>
    <row r="80" spans="4:9" x14ac:dyDescent="0.3">
      <c r="D80" s="20"/>
      <c r="I80" s="20"/>
    </row>
    <row r="81" spans="4:9" x14ac:dyDescent="0.3">
      <c r="D81" s="20"/>
      <c r="I81" s="20"/>
    </row>
    <row r="82" spans="4:9" x14ac:dyDescent="0.3">
      <c r="D82" s="20"/>
      <c r="I82" s="20"/>
    </row>
    <row r="83" spans="4:9" x14ac:dyDescent="0.3">
      <c r="D83" s="20"/>
      <c r="I83" s="20"/>
    </row>
    <row r="84" spans="4:9" x14ac:dyDescent="0.3">
      <c r="D84" s="20"/>
      <c r="I84" s="20"/>
    </row>
    <row r="85" spans="4:9" x14ac:dyDescent="0.3">
      <c r="D85" s="20"/>
      <c r="I85" s="20"/>
    </row>
    <row r="86" spans="4:9" x14ac:dyDescent="0.3">
      <c r="D86" s="20"/>
      <c r="I86" s="20"/>
    </row>
    <row r="87" spans="4:9" x14ac:dyDescent="0.3">
      <c r="D87" s="20"/>
      <c r="I87" s="20"/>
    </row>
    <row r="88" spans="4:9" x14ac:dyDescent="0.3">
      <c r="D88" s="20"/>
      <c r="I88" s="20"/>
    </row>
    <row r="89" spans="4:9" x14ac:dyDescent="0.3">
      <c r="D89" s="20"/>
      <c r="I89" s="20"/>
    </row>
    <row r="90" spans="4:9" x14ac:dyDescent="0.3">
      <c r="D90" s="20"/>
      <c r="I90" s="20"/>
    </row>
    <row r="91" spans="4:9" x14ac:dyDescent="0.3">
      <c r="D91" s="20"/>
      <c r="I91" s="20"/>
    </row>
    <row r="92" spans="4:9" x14ac:dyDescent="0.3">
      <c r="D92" s="20"/>
      <c r="I92" s="20"/>
    </row>
    <row r="93" spans="4:9" x14ac:dyDescent="0.3">
      <c r="D93" s="20"/>
      <c r="I93" s="20"/>
    </row>
    <row r="94" spans="4:9" x14ac:dyDescent="0.3">
      <c r="D94" s="20"/>
      <c r="I94" s="20"/>
    </row>
    <row r="95" spans="4:9" x14ac:dyDescent="0.3">
      <c r="D95" s="20"/>
      <c r="I95" s="20"/>
    </row>
    <row r="96" spans="4:9" x14ac:dyDescent="0.3">
      <c r="D96" s="20"/>
      <c r="I96" s="20"/>
    </row>
    <row r="97" spans="4:9" x14ac:dyDescent="0.3">
      <c r="D97" s="20"/>
      <c r="I97" s="20"/>
    </row>
    <row r="98" spans="4:9" x14ac:dyDescent="0.3">
      <c r="D98" s="20"/>
      <c r="I98" s="20"/>
    </row>
    <row r="99" spans="4:9" x14ac:dyDescent="0.3">
      <c r="D99" s="20"/>
      <c r="I99" s="20"/>
    </row>
    <row r="100" spans="4:9" x14ac:dyDescent="0.3">
      <c r="D100" s="20"/>
      <c r="I100" s="20"/>
    </row>
    <row r="101" spans="4:9" x14ac:dyDescent="0.3">
      <c r="D101" s="20"/>
      <c r="I101" s="20"/>
    </row>
    <row r="102" spans="4:9" x14ac:dyDescent="0.3">
      <c r="D102" s="20"/>
      <c r="I102" s="20"/>
    </row>
    <row r="103" spans="4:9" x14ac:dyDescent="0.3">
      <c r="D103" s="20"/>
      <c r="I103" s="20"/>
    </row>
    <row r="104" spans="4:9" x14ac:dyDescent="0.3">
      <c r="D104" s="20"/>
      <c r="I104" s="20"/>
    </row>
    <row r="105" spans="4:9" x14ac:dyDescent="0.3">
      <c r="D105" s="20"/>
      <c r="I105" s="20"/>
    </row>
    <row r="106" spans="4:9" x14ac:dyDescent="0.3">
      <c r="D106" s="20"/>
      <c r="I106" s="20"/>
    </row>
    <row r="107" spans="4:9" x14ac:dyDescent="0.3">
      <c r="D107" s="20"/>
      <c r="I107" s="20"/>
    </row>
    <row r="108" spans="4:9" x14ac:dyDescent="0.3">
      <c r="D108" s="20"/>
      <c r="I108" s="20"/>
    </row>
    <row r="109" spans="4:9" x14ac:dyDescent="0.3">
      <c r="D109" s="20"/>
      <c r="I109" s="20"/>
    </row>
    <row r="110" spans="4:9" x14ac:dyDescent="0.3">
      <c r="D110" s="20"/>
      <c r="I110" s="20"/>
    </row>
    <row r="111" spans="4:9" x14ac:dyDescent="0.3">
      <c r="D111" s="20"/>
      <c r="I111" s="20"/>
    </row>
    <row r="112" spans="4:9" x14ac:dyDescent="0.3">
      <c r="D112" s="20"/>
      <c r="I112" s="20"/>
    </row>
    <row r="113" spans="4:9" x14ac:dyDescent="0.3">
      <c r="D113" s="20"/>
      <c r="I113" s="20"/>
    </row>
    <row r="114" spans="4:9" x14ac:dyDescent="0.3">
      <c r="D114" s="20"/>
      <c r="I114" s="20"/>
    </row>
    <row r="115" spans="4:9" x14ac:dyDescent="0.3">
      <c r="D115" s="20"/>
      <c r="I115" s="20"/>
    </row>
    <row r="116" spans="4:9" x14ac:dyDescent="0.3">
      <c r="D116" s="20"/>
      <c r="I116" s="20"/>
    </row>
    <row r="117" spans="4:9" x14ac:dyDescent="0.3">
      <c r="D117" s="20"/>
      <c r="I117" s="20"/>
    </row>
    <row r="118" spans="4:9" x14ac:dyDescent="0.3">
      <c r="D118" s="20"/>
      <c r="I118" s="20"/>
    </row>
    <row r="119" spans="4:9" x14ac:dyDescent="0.3">
      <c r="D119" s="20"/>
      <c r="I119" s="20"/>
    </row>
    <row r="120" spans="4:9" x14ac:dyDescent="0.3">
      <c r="D120" s="20"/>
      <c r="I120" s="20"/>
    </row>
    <row r="121" spans="4:9" x14ac:dyDescent="0.3">
      <c r="D121" s="20"/>
      <c r="I121" s="20"/>
    </row>
    <row r="122" spans="4:9" x14ac:dyDescent="0.3">
      <c r="D122" s="20"/>
      <c r="I122" s="20"/>
    </row>
    <row r="123" spans="4:9" x14ac:dyDescent="0.3">
      <c r="D123" s="20"/>
      <c r="I123" s="20"/>
    </row>
    <row r="124" spans="4:9" x14ac:dyDescent="0.3">
      <c r="D124" s="20"/>
      <c r="I124" s="20"/>
    </row>
    <row r="125" spans="4:9" x14ac:dyDescent="0.3">
      <c r="D125" s="20"/>
      <c r="I125" s="20"/>
    </row>
    <row r="126" spans="4:9" x14ac:dyDescent="0.3">
      <c r="I126" s="20"/>
    </row>
    <row r="127" spans="4:9" x14ac:dyDescent="0.3">
      <c r="I127" s="20"/>
    </row>
    <row r="128" spans="4:9" x14ac:dyDescent="0.3">
      <c r="I128" s="20"/>
    </row>
    <row r="129" spans="9:9" x14ac:dyDescent="0.3">
      <c r="I129" s="20"/>
    </row>
    <row r="130" spans="9:9" x14ac:dyDescent="0.3">
      <c r="I130" s="20"/>
    </row>
    <row r="131" spans="9:9" x14ac:dyDescent="0.3">
      <c r="I131" s="20"/>
    </row>
  </sheetData>
  <conditionalFormatting sqref="D1:D16">
    <cfRule type="timePeriod" dxfId="13" priority="37" timePeriod="nextMonth">
      <formula>AND(MONTH(D1)=MONTH(EDATE(TODAY(),0+1)),YEAR(D1)=YEAR(EDATE(TODAY(),0+1)))</formula>
    </cfRule>
    <cfRule type="timePeriod" dxfId="12" priority="38" timePeriod="thisMonth">
      <formula>AND(MONTH(D1)=MONTH(TODAY()),YEAR(D1)=YEAR(TODAY()))</formula>
    </cfRule>
    <cfRule type="timePeriod" dxfId="11" priority="39" timePeriod="lastMonth">
      <formula>AND(MONTH(D1)=MONTH(EDATE(TODAY(),0-1)),YEAR(D1)=YEAR(EDATE(TODAY(),0-1)))</formula>
    </cfRule>
  </conditionalFormatting>
  <conditionalFormatting sqref="D22:D27 D43:D1048576">
    <cfRule type="timePeriod" dxfId="10" priority="1" timePeriod="nextMonth">
      <formula>AND(MONTH(D22)=MONTH(EDATE(TODAY(),0+1)),YEAR(D22)=YEAR(EDATE(TODAY(),0+1)))</formula>
    </cfRule>
    <cfRule type="timePeriod" dxfId="9" priority="2" timePeriod="thisMonth">
      <formula>AND(MONTH(D22)=MONTH(TODAY()),YEAR(D22)=YEAR(TODAY()))</formula>
    </cfRule>
    <cfRule type="timePeriod" dxfId="8" priority="3" timePeriod="lastMonth">
      <formula>AND(MONTH(D22)=MONTH(EDATE(TODAY(),0-1)),YEAR(D22)=YEAR(EDATE(TODAY(),0-1)))</formula>
    </cfRule>
  </conditionalFormatting>
  <conditionalFormatting sqref="I1:I16 I19:I23 E24:E26 I27:I1048576">
    <cfRule type="timePeriod" dxfId="7" priority="40" timePeriod="nextMonth">
      <formula>AND(MONTH(E1)=MONTH(EDATE(TODAY(),0+1)),YEAR(E1)=YEAR(EDATE(TODAY(),0+1)))</formula>
    </cfRule>
    <cfRule type="timePeriod" dxfId="6" priority="41" timePeriod="thisMonth">
      <formula>AND(MONTH(E1)=MONTH(TODAY()),YEAR(E1)=YEAR(TODAY()))</formula>
    </cfRule>
  </conditionalFormatting>
  <conditionalFormatting sqref="I21">
    <cfRule type="cellIs" dxfId="5" priority="45" operator="greaterThan">
      <formula>0</formula>
    </cfRule>
  </conditionalFormatting>
  <conditionalFormatting sqref="I21:I22">
    <cfRule type="cellIs" dxfId="4" priority="42" operator="lessThan">
      <formula>0</formula>
    </cfRule>
  </conditionalFormatting>
  <conditionalFormatting sqref="I22">
    <cfRule type="cellIs" dxfId="3" priority="43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522B-09DD-4490-9CA8-387DE173331A}">
  <dimension ref="A1:D43"/>
  <sheetViews>
    <sheetView topLeftCell="A11" workbookViewId="0">
      <selection activeCell="F24" sqref="F24"/>
    </sheetView>
  </sheetViews>
  <sheetFormatPr baseColWidth="10" defaultRowHeight="14.4" x14ac:dyDescent="0.3"/>
  <cols>
    <col min="1" max="1" width="10" style="10" customWidth="1"/>
    <col min="2" max="3" width="11.44140625" style="12"/>
    <col min="4" max="4" width="11.88671875" hidden="1" customWidth="1"/>
  </cols>
  <sheetData>
    <row r="1" spans="1:4" ht="28.8" x14ac:dyDescent="0.3">
      <c r="A1" s="44" t="s">
        <v>43</v>
      </c>
      <c r="B1" s="47" t="s">
        <v>46</v>
      </c>
      <c r="C1" s="47" t="s">
        <v>47</v>
      </c>
    </row>
    <row r="2" spans="1:4" x14ac:dyDescent="0.3">
      <c r="A2" s="46">
        <v>46310</v>
      </c>
      <c r="B2" s="11">
        <v>50</v>
      </c>
      <c r="C2" s="11"/>
      <c r="D2" t="b">
        <f t="shared" ref="D2:D9" ca="1" si="0">AND(TEXT(A2,"mm-yyyy")=TEXT(TODAY()-DAY(TODAY()-1),"mm-yyyy"), C2&gt;=B2)</f>
        <v>0</v>
      </c>
    </row>
    <row r="3" spans="1:4" x14ac:dyDescent="0.3">
      <c r="A3" s="46">
        <v>46326</v>
      </c>
      <c r="B3" s="11"/>
      <c r="C3" s="11">
        <v>100</v>
      </c>
      <c r="D3" t="b">
        <f t="shared" ca="1" si="0"/>
        <v>1</v>
      </c>
    </row>
    <row r="4" spans="1:4" x14ac:dyDescent="0.3">
      <c r="A4" s="46">
        <v>46341</v>
      </c>
      <c r="B4" s="11">
        <v>50</v>
      </c>
      <c r="C4" s="11"/>
      <c r="D4" t="b">
        <f t="shared" ca="1" si="0"/>
        <v>0</v>
      </c>
    </row>
    <row r="5" spans="1:4" x14ac:dyDescent="0.3">
      <c r="A5" s="46">
        <v>46356</v>
      </c>
      <c r="B5" s="11"/>
      <c r="C5" s="11">
        <v>100</v>
      </c>
      <c r="D5" t="b">
        <f t="shared" ca="1" si="0"/>
        <v>0</v>
      </c>
    </row>
    <row r="6" spans="1:4" x14ac:dyDescent="0.3">
      <c r="A6" s="46">
        <v>46371</v>
      </c>
      <c r="B6" s="11">
        <v>50</v>
      </c>
      <c r="C6" s="11"/>
      <c r="D6" t="b">
        <f t="shared" ca="1" si="0"/>
        <v>0</v>
      </c>
    </row>
    <row r="7" spans="1:4" x14ac:dyDescent="0.3">
      <c r="A7" s="45" t="s">
        <v>44</v>
      </c>
      <c r="B7" s="11">
        <v>100</v>
      </c>
      <c r="C7" s="11">
        <v>100</v>
      </c>
      <c r="D7" t="b">
        <f t="shared" ca="1" si="0"/>
        <v>0</v>
      </c>
    </row>
    <row r="8" spans="1:4" x14ac:dyDescent="0.3">
      <c r="A8" s="45" t="s">
        <v>45</v>
      </c>
      <c r="B8" s="11">
        <v>100</v>
      </c>
      <c r="C8" s="11">
        <v>100</v>
      </c>
      <c r="D8" t="b">
        <f t="shared" ca="1" si="0"/>
        <v>0</v>
      </c>
    </row>
    <row r="9" spans="1:4" x14ac:dyDescent="0.3">
      <c r="A9" s="46">
        <v>46387</v>
      </c>
      <c r="B9" s="11"/>
      <c r="C9" s="11">
        <v>100</v>
      </c>
      <c r="D9" t="b">
        <f t="shared" ca="1" si="0"/>
        <v>0</v>
      </c>
    </row>
    <row r="10" spans="1:4" x14ac:dyDescent="0.3">
      <c r="A10" s="46">
        <v>46402</v>
      </c>
      <c r="B10" s="11">
        <v>50</v>
      </c>
      <c r="C10" s="11"/>
      <c r="D10" t="b">
        <f t="shared" ref="D10:D35" ca="1" si="1">AND(TEXT(A10,"mm-yyyy")=TEXT(TODAY()-DAY(TODAY()-1),"mm-yyyy"), C10&gt;=B10)</f>
        <v>0</v>
      </c>
    </row>
    <row r="11" spans="1:4" x14ac:dyDescent="0.3">
      <c r="A11" s="46">
        <v>46418</v>
      </c>
      <c r="B11" s="11"/>
      <c r="C11" s="11">
        <v>100</v>
      </c>
      <c r="D11" t="b">
        <f t="shared" ca="1" si="1"/>
        <v>0</v>
      </c>
    </row>
    <row r="12" spans="1:4" x14ac:dyDescent="0.3">
      <c r="A12" s="46">
        <v>46433</v>
      </c>
      <c r="B12" s="11">
        <v>50</v>
      </c>
      <c r="C12" s="11"/>
      <c r="D12" t="b">
        <f t="shared" ca="1" si="1"/>
        <v>0</v>
      </c>
    </row>
    <row r="13" spans="1:4" x14ac:dyDescent="0.3">
      <c r="A13" s="46">
        <v>46446</v>
      </c>
      <c r="B13" s="11"/>
      <c r="C13" s="11">
        <v>100</v>
      </c>
      <c r="D13" t="b">
        <f t="shared" ca="1" si="1"/>
        <v>0</v>
      </c>
    </row>
    <row r="14" spans="1:4" x14ac:dyDescent="0.3">
      <c r="A14" s="46">
        <v>46461</v>
      </c>
      <c r="B14" s="11">
        <v>50</v>
      </c>
      <c r="C14" s="11"/>
      <c r="D14" t="b">
        <f t="shared" ca="1" si="1"/>
        <v>0</v>
      </c>
    </row>
    <row r="15" spans="1:4" x14ac:dyDescent="0.3">
      <c r="A15" s="46">
        <v>46477</v>
      </c>
      <c r="B15" s="11"/>
      <c r="C15" s="11">
        <v>100</v>
      </c>
      <c r="D15" t="b">
        <f t="shared" ca="1" si="1"/>
        <v>0</v>
      </c>
    </row>
    <row r="16" spans="1:4" x14ac:dyDescent="0.3">
      <c r="A16" s="46">
        <v>46492</v>
      </c>
      <c r="B16" s="11">
        <v>50</v>
      </c>
      <c r="C16" s="11"/>
      <c r="D16" t="b">
        <f t="shared" ca="1" si="1"/>
        <v>0</v>
      </c>
    </row>
    <row r="17" spans="1:4" x14ac:dyDescent="0.3">
      <c r="A17" s="46">
        <v>46507</v>
      </c>
      <c r="B17" s="11"/>
      <c r="C17" s="11">
        <v>100</v>
      </c>
      <c r="D17" t="b">
        <f t="shared" ca="1" si="1"/>
        <v>0</v>
      </c>
    </row>
    <row r="18" spans="1:4" x14ac:dyDescent="0.3">
      <c r="A18" s="46">
        <v>46522</v>
      </c>
      <c r="B18" s="11">
        <v>50</v>
      </c>
      <c r="C18" s="11"/>
      <c r="D18" t="b">
        <f t="shared" ca="1" si="1"/>
        <v>0</v>
      </c>
    </row>
    <row r="19" spans="1:4" x14ac:dyDescent="0.3">
      <c r="A19" s="46">
        <v>46538</v>
      </c>
      <c r="B19" s="11"/>
      <c r="C19" s="11">
        <v>100</v>
      </c>
      <c r="D19" t="b">
        <f t="shared" ca="1" si="1"/>
        <v>0</v>
      </c>
    </row>
    <row r="20" spans="1:4" x14ac:dyDescent="0.3">
      <c r="A20" s="46">
        <v>46553</v>
      </c>
      <c r="B20" s="11">
        <v>50</v>
      </c>
      <c r="C20" s="11"/>
      <c r="D20" t="b">
        <f t="shared" ca="1" si="1"/>
        <v>0</v>
      </c>
    </row>
    <row r="21" spans="1:4" x14ac:dyDescent="0.3">
      <c r="A21" s="46">
        <v>46568</v>
      </c>
      <c r="B21" s="11"/>
      <c r="C21" s="11">
        <v>100</v>
      </c>
      <c r="D21" t="b">
        <f t="shared" ca="1" si="1"/>
        <v>0</v>
      </c>
    </row>
    <row r="22" spans="1:4" x14ac:dyDescent="0.3">
      <c r="A22" s="46">
        <v>46583</v>
      </c>
      <c r="B22" s="11">
        <v>50</v>
      </c>
      <c r="C22" s="11"/>
      <c r="D22" t="b">
        <f t="shared" ca="1" si="1"/>
        <v>0</v>
      </c>
    </row>
    <row r="23" spans="1:4" x14ac:dyDescent="0.3">
      <c r="A23" s="46">
        <v>46599</v>
      </c>
      <c r="B23" s="11"/>
      <c r="C23" s="11">
        <v>100</v>
      </c>
      <c r="D23" t="b">
        <f t="shared" ca="1" si="1"/>
        <v>0</v>
      </c>
    </row>
    <row r="24" spans="1:4" x14ac:dyDescent="0.3">
      <c r="A24" s="46">
        <v>46614</v>
      </c>
      <c r="B24" s="11">
        <v>50</v>
      </c>
      <c r="C24" s="11"/>
      <c r="D24" t="b">
        <f t="shared" ca="1" si="1"/>
        <v>0</v>
      </c>
    </row>
    <row r="25" spans="1:4" x14ac:dyDescent="0.3">
      <c r="A25" s="46">
        <v>46630</v>
      </c>
      <c r="B25" s="11"/>
      <c r="C25" s="11">
        <v>100</v>
      </c>
      <c r="D25" t="b">
        <f t="shared" ca="1" si="1"/>
        <v>0</v>
      </c>
    </row>
    <row r="26" spans="1:4" x14ac:dyDescent="0.3">
      <c r="A26" s="46">
        <v>46645</v>
      </c>
      <c r="B26" s="11">
        <v>50</v>
      </c>
      <c r="C26" s="11"/>
      <c r="D26" t="b">
        <f t="shared" ca="1" si="1"/>
        <v>0</v>
      </c>
    </row>
    <row r="27" spans="1:4" x14ac:dyDescent="0.3">
      <c r="A27" s="46">
        <v>46660</v>
      </c>
      <c r="B27" s="11"/>
      <c r="C27" s="11">
        <v>100</v>
      </c>
      <c r="D27" t="b">
        <f t="shared" ca="1" si="1"/>
        <v>0</v>
      </c>
    </row>
    <row r="28" spans="1:4" x14ac:dyDescent="0.3">
      <c r="A28" s="46">
        <v>46675</v>
      </c>
      <c r="B28" s="11">
        <v>50</v>
      </c>
      <c r="C28" s="11"/>
      <c r="D28" t="b">
        <f t="shared" ca="1" si="1"/>
        <v>0</v>
      </c>
    </row>
    <row r="29" spans="1:4" x14ac:dyDescent="0.3">
      <c r="A29" s="46">
        <v>46691</v>
      </c>
      <c r="B29" s="11"/>
      <c r="C29" s="11">
        <v>100</v>
      </c>
      <c r="D29" t="b">
        <f t="shared" ca="1" si="1"/>
        <v>0</v>
      </c>
    </row>
    <row r="30" spans="1:4" x14ac:dyDescent="0.3">
      <c r="A30" s="46">
        <v>46706</v>
      </c>
      <c r="B30" s="11">
        <v>50</v>
      </c>
      <c r="C30" s="11"/>
      <c r="D30" t="b">
        <f t="shared" ca="1" si="1"/>
        <v>0</v>
      </c>
    </row>
    <row r="31" spans="1:4" x14ac:dyDescent="0.3">
      <c r="A31" s="46">
        <v>46721</v>
      </c>
      <c r="B31" s="11"/>
      <c r="C31" s="11">
        <v>100</v>
      </c>
      <c r="D31" t="b">
        <f t="shared" ca="1" si="1"/>
        <v>0</v>
      </c>
    </row>
    <row r="32" spans="1:4" x14ac:dyDescent="0.3">
      <c r="A32" s="46">
        <v>46736</v>
      </c>
      <c r="B32" s="11">
        <v>50</v>
      </c>
      <c r="C32" s="11"/>
      <c r="D32" t="b">
        <f t="shared" ca="1" si="1"/>
        <v>0</v>
      </c>
    </row>
    <row r="33" spans="1:4" x14ac:dyDescent="0.3">
      <c r="A33" s="45" t="s">
        <v>44</v>
      </c>
      <c r="B33" s="11">
        <v>100</v>
      </c>
      <c r="C33" s="11">
        <v>100</v>
      </c>
      <c r="D33" t="b">
        <f t="shared" ca="1" si="1"/>
        <v>0</v>
      </c>
    </row>
    <row r="34" spans="1:4" x14ac:dyDescent="0.3">
      <c r="A34" s="45" t="s">
        <v>45</v>
      </c>
      <c r="B34" s="11">
        <v>100</v>
      </c>
      <c r="C34" s="11">
        <v>100</v>
      </c>
      <c r="D34" t="b">
        <f t="shared" ca="1" si="1"/>
        <v>0</v>
      </c>
    </row>
    <row r="35" spans="1:4" ht="15" thickBot="1" x14ac:dyDescent="0.35">
      <c r="A35" s="46">
        <v>46752</v>
      </c>
      <c r="B35" s="11"/>
      <c r="C35" s="11">
        <v>100</v>
      </c>
      <c r="D35" t="b">
        <f t="shared" ca="1" si="1"/>
        <v>0</v>
      </c>
    </row>
    <row r="36" spans="1:4" ht="15" thickBot="1" x14ac:dyDescent="0.35">
      <c r="B36" s="48">
        <f>SUM(B2:B35)</f>
        <v>1150</v>
      </c>
      <c r="C36" s="49">
        <f>SUM(C2:C35)</f>
        <v>1900</v>
      </c>
    </row>
    <row r="37" spans="1:4" ht="15" thickBot="1" x14ac:dyDescent="0.35">
      <c r="B37" s="3"/>
      <c r="C37" s="3"/>
    </row>
    <row r="38" spans="1:4" ht="15" thickBot="1" x14ac:dyDescent="0.35">
      <c r="B38" s="64">
        <f ca="1">IFERROR(SUMIFS(C2:C35,A2:A35,"&lt;="&amp;TODAY()),0)-IFERROR(SUMIFS(B2:B35,A2:A35,"&lt;="&amp;TODAY()),0)</f>
        <v>-50</v>
      </c>
      <c r="C38" s="65"/>
    </row>
    <row r="39" spans="1:4" x14ac:dyDescent="0.3">
      <c r="B39" s="57"/>
      <c r="C39" s="3"/>
    </row>
    <row r="40" spans="1:4" x14ac:dyDescent="0.3">
      <c r="B40"/>
      <c r="C40" s="3"/>
    </row>
    <row r="41" spans="1:4" x14ac:dyDescent="0.3">
      <c r="B41" s="3"/>
      <c r="C41" s="3"/>
    </row>
    <row r="42" spans="1:4" x14ac:dyDescent="0.3">
      <c r="B42" s="3"/>
      <c r="C42" s="3"/>
    </row>
    <row r="43" spans="1:4" x14ac:dyDescent="0.3">
      <c r="B43" s="3"/>
      <c r="C43" s="3"/>
    </row>
  </sheetData>
  <mergeCells count="1">
    <mergeCell ref="B38:C38"/>
  </mergeCells>
  <conditionalFormatting sqref="B38:C38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SV</dc:creator>
  <cp:lastModifiedBy>Luis Enrique Vasquez Menjivar</cp:lastModifiedBy>
  <cp:lastPrinted>2025-04-01T02:16:43Z</cp:lastPrinted>
  <dcterms:created xsi:type="dcterms:W3CDTF">2024-09-09T17:55:09Z</dcterms:created>
  <dcterms:modified xsi:type="dcterms:W3CDTF">2026-10-21T02:15:09Z</dcterms:modified>
</cp:coreProperties>
</file>