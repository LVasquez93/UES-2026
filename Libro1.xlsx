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 2026\"/>
    </mc:Choice>
  </mc:AlternateContent>
  <xr:revisionPtr revIDLastSave="0" documentId="13_ncr:1_{0CC084F9-2AC1-46BD-B872-F89B8F97A669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4" l="1"/>
  <c r="K12" i="2"/>
  <c r="B59" i="4"/>
  <c r="B58" i="4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C14" i="3"/>
  <c r="J18" i="3"/>
  <c r="H14" i="3"/>
  <c r="G14" i="3"/>
  <c r="F17" i="2"/>
  <c r="I21" i="3" l="1"/>
  <c r="J14" i="3"/>
  <c r="I20" i="3" s="1"/>
  <c r="F19" i="2"/>
  <c r="I22" i="3" l="1"/>
  <c r="D17" i="2" l="1"/>
  <c r="D19" i="2" s="1"/>
</calcChain>
</file>

<file path=xl/sharedStrings.xml><?xml version="1.0" encoding="utf-8"?>
<sst xmlns="http://schemas.openxmlformats.org/spreadsheetml/2006/main" count="88" uniqueCount="62">
  <si>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</si>
  <si>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</si>
  <si>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</si>
  <si>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</si>
  <si>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</si>
  <si>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</si>
  <si>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</si>
  <si>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</si>
  <si>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</si>
  <si>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</si>
  <si>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</si>
  <si>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</si>
  <si>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</si>
  <si>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</si>
  <si>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</si>
  <si>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</si>
  <si>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</si>
  <si>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</si>
  <si>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</si>
  <si>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</si>
  <si>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</si>
  <si>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</si>
  <si>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</si>
  <si>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</si>
  <si>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</si>
  <si>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</si>
  <si>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</si>
  <si>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</si>
  <si>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</si>
  <si>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</si>
  <si>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</si>
  <si>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</si>
  <si>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</si>
  <si>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</si>
  <si>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</si>
  <si>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</si>
  <si>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</si>
  <si>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</si>
  <si>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</si>
  <si>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</si>
  <si>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</si>
  <si>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</si>
  <si>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</si>
  <si>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</si>
  <si>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</si>
  <si>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</si>
  <si>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</si>
  <si>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</si>
  <si>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</si>
  <si>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</si>
  <si>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</si>
  <si>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</si>
  <si>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</si>
  <si>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</si>
  <si>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</si>
  <si>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</si>
  <si>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</si>
  <si>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</si>
  <si>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</si>
  <si>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x</t>
  </si>
  <si>
    <t>Tasa cero Sillones</t>
  </si>
  <si>
    <t>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</si>
</sst>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/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7"/>
  <sheetViews>
    <sheetView zoomScale="121" workbookViewId="0">
      <selection activeCell="K13" sqref="K13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11" x14ac:dyDescent="0.3">
      <c r="B1" s="13" t="s">
        <v>14</v>
      </c>
      <c r="C1" s="13"/>
      <c r="D1" s="13">
        <v>15</v>
      </c>
      <c r="F1" s="13">
        <v>30</v>
      </c>
    </row>
    <row r="2" spans="2:11" x14ac:dyDescent="0.3">
      <c r="B2" s="9" t="s">
        <v>2</v>
      </c>
      <c r="C2" s="9" t="s">
        <v>20</v>
      </c>
      <c r="D2" s="8">
        <v>60</v>
      </c>
      <c r="E2" t="s">
        <v>59</v>
      </c>
      <c r="F2" s="8">
        <v>60</v>
      </c>
    </row>
    <row r="3" spans="2:11" x14ac:dyDescent="0.3">
      <c r="B3" s="9" t="s">
        <v>3</v>
      </c>
      <c r="C3" s="9" t="s">
        <v>41</v>
      </c>
      <c r="D3" s="8">
        <v>50</v>
      </c>
      <c r="E3" t="s">
        <v>59</v>
      </c>
      <c r="F3" s="8">
        <v>50</v>
      </c>
    </row>
    <row r="4" spans="2:11" x14ac:dyDescent="0.3">
      <c r="B4" s="9" t="s">
        <v>4</v>
      </c>
      <c r="C4" s="9" t="s">
        <v>20</v>
      </c>
      <c r="D4" s="8">
        <v>10</v>
      </c>
      <c r="E4" t="s">
        <v>59</v>
      </c>
      <c r="F4" s="8">
        <v>10</v>
      </c>
    </row>
    <row r="5" spans="2:11" x14ac:dyDescent="0.3">
      <c r="B5" s="9" t="s">
        <v>5</v>
      </c>
      <c r="C5" s="9" t="s">
        <v>20</v>
      </c>
      <c r="D5" s="8">
        <v>20</v>
      </c>
      <c r="F5" s="8">
        <v>20</v>
      </c>
    </row>
    <row r="6" spans="2:11" x14ac:dyDescent="0.3">
      <c r="B6" s="9" t="s">
        <v>6</v>
      </c>
      <c r="C6" s="9" t="s">
        <v>41</v>
      </c>
      <c r="D6" s="8">
        <v>70</v>
      </c>
      <c r="F6" s="8">
        <v>70</v>
      </c>
    </row>
    <row r="7" spans="2:11" x14ac:dyDescent="0.3">
      <c r="B7" s="9" t="s">
        <v>17</v>
      </c>
      <c r="C7" s="9" t="s">
        <v>44</v>
      </c>
      <c r="D7" s="8">
        <v>100</v>
      </c>
      <c r="E7" t="s">
        <v>59</v>
      </c>
      <c r="F7" s="8">
        <v>100</v>
      </c>
    </row>
    <row r="8" spans="2:11" x14ac:dyDescent="0.3">
      <c r="B8" t="s">
        <v>7</v>
      </c>
      <c r="C8" t="s">
        <v>44</v>
      </c>
      <c r="D8" s="58">
        <v>95</v>
      </c>
      <c r="E8" t="s">
        <v>59</v>
      </c>
    </row>
    <row r="9" spans="2:11" x14ac:dyDescent="0.3">
      <c r="B9" t="s">
        <v>18</v>
      </c>
      <c r="C9" t="s">
        <v>41</v>
      </c>
      <c r="F9">
        <v>15</v>
      </c>
    </row>
    <row r="10" spans="2:11" x14ac:dyDescent="0.3">
      <c r="B10" t="s">
        <v>16</v>
      </c>
      <c r="C10" t="s">
        <v>42</v>
      </c>
    </row>
    <row r="11" spans="2:11" x14ac:dyDescent="0.3">
      <c r="B11" t="s">
        <v>8</v>
      </c>
      <c r="C11" t="s">
        <v>43</v>
      </c>
      <c r="F11">
        <v>25</v>
      </c>
    </row>
    <row r="12" spans="2:11" x14ac:dyDescent="0.3">
      <c r="B12" t="s">
        <v>9</v>
      </c>
      <c r="C12" t="s">
        <v>43</v>
      </c>
      <c r="D12">
        <v>15</v>
      </c>
      <c r="E12" t="s">
        <v>59</v>
      </c>
      <c r="F12">
        <v>5</v>
      </c>
      <c r="H12">
        <v>8286917</v>
      </c>
      <c r="K12">
        <f>550-95-60-50</f>
        <v>345</v>
      </c>
    </row>
    <row r="13" spans="2:11" x14ac:dyDescent="0.3">
      <c r="B13" t="s">
        <v>10</v>
      </c>
      <c r="C13" t="s">
        <v>42</v>
      </c>
    </row>
    <row r="14" spans="2:11" x14ac:dyDescent="0.3">
      <c r="B14" t="s">
        <v>15</v>
      </c>
      <c r="C14" t="s">
        <v>43</v>
      </c>
      <c r="F14">
        <v>31</v>
      </c>
    </row>
    <row r="15" spans="2:11" x14ac:dyDescent="0.3">
      <c r="B15" t="s">
        <v>60</v>
      </c>
      <c r="C15" t="s">
        <v>42</v>
      </c>
      <c r="D15">
        <v>48</v>
      </c>
      <c r="E15" t="s">
        <v>59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2" workbookViewId="0">
      <selection activeCell="J10" sqref="J10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539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54.84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v>280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/>
      <c r="F14" s="21"/>
      <c r="G14" s="21">
        <f>SUM(G3:G13)</f>
        <v>0</v>
      </c>
      <c r="H14" s="21">
        <f>SUM(H3:H13)</f>
        <v>0</v>
      </c>
      <c r="I14" s="21"/>
      <c r="J14" s="21">
        <f>SUM(J3:J13)</f>
        <v>593.84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46081</v>
      </c>
      <c r="D17" s="24">
        <v>46096</v>
      </c>
      <c r="E17" s="24">
        <v>46111</v>
      </c>
      <c r="F17" s="24" t="s">
        <v>61</v>
      </c>
      <c r="G17" s="24"/>
      <c r="H17" s="24"/>
      <c r="I17" s="24"/>
    </row>
    <row r="18" spans="1:10" ht="15" thickBot="1" x14ac:dyDescent="0.35">
      <c r="A18" s="1" t="s">
        <v>35</v>
      </c>
      <c r="B18" s="57">
        <v>150</v>
      </c>
      <c r="C18" s="2">
        <v>60</v>
      </c>
      <c r="D18" s="2">
        <v>65</v>
      </c>
      <c r="E18" s="2">
        <v>60</v>
      </c>
      <c r="F18" s="2">
        <v>150</v>
      </c>
      <c r="G18" s="2">
        <v>100</v>
      </c>
      <c r="H18" s="2"/>
      <c r="I18" s="22"/>
      <c r="J18" s="23">
        <f>SUM(B18:I18)</f>
        <v>585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593.84</v>
      </c>
    </row>
    <row r="21" spans="1:10" ht="15" thickBot="1" x14ac:dyDescent="0.35">
      <c r="D21" s="12"/>
      <c r="H21" s="26" t="s">
        <v>38</v>
      </c>
      <c r="I21" s="25">
        <f>+J18-H14-G14</f>
        <v>585</v>
      </c>
    </row>
    <row r="22" spans="1:10" ht="15" thickBot="1" x14ac:dyDescent="0.35">
      <c r="D22" s="20"/>
      <c r="H22" s="27" t="s">
        <v>54</v>
      </c>
      <c r="I22" s="25">
        <f>+I21-J14</f>
        <v>-8.8400000000000318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workbookViewId="0">
      <selection activeCell="G14" sqref="G14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7" ht="28.8" x14ac:dyDescent="0.3">
      <c r="A1" s="45" t="s">
        <v>49</v>
      </c>
      <c r="B1" s="48" t="s">
        <v>52</v>
      </c>
      <c r="C1" s="48" t="s">
        <v>53</v>
      </c>
    </row>
    <row r="2" spans="1:7" x14ac:dyDescent="0.3">
      <c r="A2" s="47"/>
      <c r="B2" s="11">
        <v>0</v>
      </c>
      <c r="C2" s="11">
        <v>250</v>
      </c>
      <c r="D2" t="b">
        <f t="shared" ref="D2:D28" ca="1" si="0">AND(TEXT(A2,"mm-yyyy")=TEXT(TODAY()-DAY(TODAY()-1),"mm-yyyy"), C2&gt;=B2)</f>
        <v>0</v>
      </c>
    </row>
    <row r="3" spans="1:7" x14ac:dyDescent="0.3">
      <c r="A3" s="47">
        <v>46037</v>
      </c>
      <c r="B3" s="11">
        <v>75</v>
      </c>
      <c r="C3" s="11">
        <v>150</v>
      </c>
      <c r="D3" t="b">
        <f t="shared" ca="1" si="0"/>
        <v>0</v>
      </c>
    </row>
    <row r="4" spans="1:7" x14ac:dyDescent="0.3">
      <c r="A4" s="47">
        <v>46053</v>
      </c>
      <c r="B4" s="11">
        <v>70</v>
      </c>
      <c r="C4" s="11">
        <v>100</v>
      </c>
      <c r="D4" t="b">
        <f t="shared" ca="1" si="0"/>
        <v>0</v>
      </c>
    </row>
    <row r="5" spans="1:7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3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500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30</v>
      </c>
      <c r="C57" s="61"/>
    </row>
    <row r="58" spans="1:4" x14ac:dyDescent="0.3">
      <c r="B58" s="59">
        <f ca="1">IF(SUMIFS(B2:B54,A2:A54,"&lt;="&amp;TODAY())=0,0,SUMIFS(C2:C54,A2:A54,"&lt;="&amp;TODAY())/SUMIFS(B2:B54,A2:A54,"&lt;="&amp;TODAY()))</f>
        <v>1.1363636363636365</v>
      </c>
      <c r="C58" s="3"/>
    </row>
    <row r="59" spans="1:4" x14ac:dyDescent="0.3">
      <c r="B59">
        <f ca="1">MAX(0, SUMIFS(B2:B54,A2:A54,"&lt;="&amp;TODAY())-SUMIFS(C2:C54,A2:A54,"&lt;="&amp;TODAY()))</f>
        <v>0</v>
      </c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2026-02-23T19:06:04Z</dcterms:modified>
</cp:coreProperties>
</file>