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D1AEAD01-E5B9-4641-92BF-C59DEEFD7098}" xr6:coauthVersionLast="47" xr6:coauthVersionMax="47" xr10:uidLastSave="{00000000-0000-0000-0000-000000000000}"/>
  <bookViews>
    <workbookView xWindow="-120" yWindow="-120" windowWidth="20640" windowHeight="1116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2" l="1"/>
  <c r="J4" i="2"/>
  <c r="J3" i="2"/>
  <c r="J2" i="2"/>
  <c r="D16" i="2"/>
  <c r="F16" i="2"/>
  <c r="J14" i="3"/>
  <c r="E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<sst xmlns="http://schemas.openxmlformats.org/spreadsheetml/2006/main" count="82" uniqueCount="64">
  <si>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</si>
  <si>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</si>
  <si>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</si>
  <si>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</si>
  <si>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</si>
  <si>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</si>
  <si>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</si>
  <si>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</si>
  <si>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</si>
  <si>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</si>
  <si>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</si>
  <si>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</si>
  <si>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</si>
  <si>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</si>
  <si>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</si>
  <si>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</si>
  <si>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</si>
  <si>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</si>
  <si>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</si>
  <si>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</si>
  <si>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</si>
  <si>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</si>
  <si>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</si>
  <si>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</si>
  <si>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</si>
  <si>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</si>
  <si>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</si>
  <si>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</si>
  <si>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</si>
  <si>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</si>
  <si>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</si>
  <si>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</si>
  <si>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</si>
  <si>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</si>
  <si>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</si>
  <si>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</si>
  <si>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</si>
  <si>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</si>
  <si>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</si>
  <si>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</si>
  <si>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</si>
  <si>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</si>
  <si>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</si>
  <si>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</si>
  <si>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</si>
  <si>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</si>
  <si>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</si>
  <si>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</si>
  <si>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</si>
  <si>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</si>
  <si>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</si>
  <si>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</si>
  <si>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</si>
  <si>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</si>
  <si>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COM</t>
  </si>
  <si>
    <t>incpcdd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</si>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</sst>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6"/>
  <sheetViews>
    <sheetView tabSelected="1" zoomScale="121" workbookViewId="0">
      <selection activeCell="K12" sqref="K12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1" x14ac:dyDescent="0.25">
      <c r="B1" s="13" t="s">
        <v>13</v>
      </c>
      <c r="C1" s="13"/>
      <c r="D1" s="13">
        <v>15</v>
      </c>
      <c r="F1" s="13">
        <v>30</v>
      </c>
      <c r="I1" s="62" t="s">
        <v>61</v>
      </c>
      <c r="J1" s="62" t="s">
        <v>62</v>
      </c>
      <c r="K1" s="62" t="s">
        <v>41</v>
      </c>
    </row>
    <row r="2" spans="2:11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56</v>
      </c>
      <c r="J2" s="11">
        <f>SUM(D2:F6)</f>
        <v>400</v>
      </c>
      <c r="K2" s="63">
        <f>100/$J$7*J2/100</f>
        <v>0.4219409282700422</v>
      </c>
    </row>
    <row r="3" spans="2:11" x14ac:dyDescent="0.25">
      <c r="B3" s="9" t="s">
        <v>3</v>
      </c>
      <c r="C3" s="9" t="s">
        <v>37</v>
      </c>
      <c r="D3" s="8">
        <v>50</v>
      </c>
      <c r="F3" s="8">
        <v>50</v>
      </c>
      <c r="I3" s="9" t="s">
        <v>57</v>
      </c>
      <c r="J3" s="11">
        <f>+D7+F7</f>
        <v>280</v>
      </c>
      <c r="K3" s="63">
        <f t="shared" ref="K3:K6" si="0">100/$J$7*J3/100</f>
        <v>0.29535864978902954</v>
      </c>
    </row>
    <row r="4" spans="2:11" x14ac:dyDescent="0.25">
      <c r="B4" s="9" t="s">
        <v>4</v>
      </c>
      <c r="C4" s="9" t="s">
        <v>17</v>
      </c>
      <c r="D4" s="8">
        <v>10</v>
      </c>
      <c r="F4" s="8">
        <v>10</v>
      </c>
      <c r="I4" s="9" t="s">
        <v>58</v>
      </c>
      <c r="J4" s="11">
        <f>D8</f>
        <v>95</v>
      </c>
      <c r="K4" s="63">
        <f t="shared" si="0"/>
        <v>0.10021097046413502</v>
      </c>
    </row>
    <row r="5" spans="2:11" x14ac:dyDescent="0.25">
      <c r="B5" s="9" t="s">
        <v>5</v>
      </c>
      <c r="C5" s="9" t="s">
        <v>17</v>
      </c>
      <c r="D5" s="8">
        <v>20</v>
      </c>
      <c r="F5" s="8">
        <v>20</v>
      </c>
      <c r="I5" s="9" t="s">
        <v>59</v>
      </c>
      <c r="J5" s="11">
        <f>SUM(D9:F11)</f>
        <v>55</v>
      </c>
      <c r="K5" s="63">
        <f t="shared" si="0"/>
        <v>5.8016877637130808E-2</v>
      </c>
    </row>
    <row r="6" spans="2:11" x14ac:dyDescent="0.25">
      <c r="B6" s="9" t="s">
        <v>6</v>
      </c>
      <c r="C6" s="9" t="s">
        <v>37</v>
      </c>
      <c r="D6" s="8">
        <v>60</v>
      </c>
      <c r="F6" s="8">
        <v>60</v>
      </c>
      <c r="I6" s="9" t="s">
        <v>63</v>
      </c>
      <c r="J6" s="11">
        <f>D18+F18</f>
        <v>118</v>
      </c>
      <c r="K6" s="63">
        <f t="shared" si="0"/>
        <v>0.12447257383966244</v>
      </c>
    </row>
    <row r="7" spans="2:11" x14ac:dyDescent="0.25">
      <c r="B7" s="9" t="s">
        <v>14</v>
      </c>
      <c r="C7" s="9" t="s">
        <v>39</v>
      </c>
      <c r="D7" s="8">
        <v>140</v>
      </c>
      <c r="F7" s="8">
        <v>140</v>
      </c>
      <c r="I7" s="62" t="s">
        <v>60</v>
      </c>
      <c r="J7" s="62">
        <f>SUM(J2:J6)</f>
        <v>948</v>
      </c>
    </row>
    <row r="8" spans="2:11" x14ac:dyDescent="0.25">
      <c r="B8" t="s">
        <v>7</v>
      </c>
      <c r="C8" t="s">
        <v>39</v>
      </c>
      <c r="D8" s="57">
        <v>95</v>
      </c>
    </row>
    <row r="9" spans="2:11" x14ac:dyDescent="0.25">
      <c r="B9" t="s">
        <v>15</v>
      </c>
      <c r="C9" t="s">
        <v>37</v>
      </c>
      <c r="F9">
        <v>10</v>
      </c>
    </row>
    <row r="10" spans="2:11" x14ac:dyDescent="0.25">
      <c r="B10" t="s">
        <v>8</v>
      </c>
      <c r="C10" t="s">
        <v>38</v>
      </c>
      <c r="F10">
        <v>25</v>
      </c>
    </row>
    <row r="11" spans="2:11" x14ac:dyDescent="0.25">
      <c r="B11" t="s">
        <v>9</v>
      </c>
      <c r="C11" t="s">
        <v>38</v>
      </c>
      <c r="D11">
        <v>15</v>
      </c>
      <c r="F11">
        <v>5</v>
      </c>
      <c r="H11">
        <v>8286917</v>
      </c>
    </row>
    <row r="12" spans="2:11" x14ac:dyDescent="0.25">
      <c r="K12" s="3"/>
    </row>
    <row r="16" spans="2:11" x14ac:dyDescent="0.25">
      <c r="B16" s="7" t="s">
        <v>10</v>
      </c>
      <c r="C16" s="7"/>
      <c r="D16" s="7">
        <f>SUM(D2:D15)</f>
        <v>450</v>
      </c>
      <c r="F16" s="7">
        <f>SUM(F2:F15)</f>
        <v>380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50</v>
      </c>
      <c r="F18" s="5">
        <f>F17-F16</f>
        <v>68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17" priority="46" operator="equal">
      <formula>#REF!</formula>
    </cfRule>
    <cfRule type="cellIs" dxfId="16" priority="47" operator="equal">
      <formula>$C$7</formula>
    </cfRule>
    <cfRule type="cellIs" dxfId="15" priority="48" operator="equal">
      <formula>$C$3</formula>
    </cfRule>
    <cfRule type="cellIs" dxfId="14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7" zoomScale="109" workbookViewId="0">
      <selection activeCell="C18" sqref="C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43"/>
      <c r="F3" s="43"/>
      <c r="G3" s="32"/>
      <c r="H3" s="43"/>
      <c r="I3" s="52">
        <v>46204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>
        <v>263</v>
      </c>
      <c r="I5" s="20">
        <v>46207</v>
      </c>
      <c r="J5" s="12">
        <v>28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>
        <v>95</v>
      </c>
      <c r="I6" s="20">
        <v>46209</v>
      </c>
      <c r="J6" s="12"/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E13" s="12">
        <v>46.42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46.42</v>
      </c>
      <c r="F14" s="21"/>
      <c r="G14" s="21">
        <f>SUM(G3:G13)</f>
        <v>0</v>
      </c>
      <c r="H14" s="21">
        <f>SUBTOTAL(109,H3:H13)</f>
        <v>358</v>
      </c>
      <c r="I14" s="21"/>
      <c r="J14" s="21">
        <f>SUBTOTAL(109,J3:J13)</f>
        <v>28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>
        <v>46233</v>
      </c>
      <c r="D17" s="23"/>
      <c r="E17" s="23" t="s">
        <v>54</v>
      </c>
      <c r="F17" s="23">
        <v>46249</v>
      </c>
      <c r="G17" s="23" t="s">
        <v>55</v>
      </c>
      <c r="H17" s="23"/>
      <c r="I17" s="23"/>
    </row>
    <row r="18" spans="1:11" ht="15.75" thickBot="1" x14ac:dyDescent="0.3">
      <c r="A18" s="1" t="s">
        <v>31</v>
      </c>
      <c r="B18" s="56">
        <v>30</v>
      </c>
      <c r="C18" s="2">
        <v>100</v>
      </c>
      <c r="D18" s="59"/>
      <c r="E18" s="59">
        <v>250</v>
      </c>
      <c r="F18" s="2"/>
      <c r="G18" s="59"/>
      <c r="H18" s="2"/>
      <c r="I18" s="2"/>
      <c r="J18" s="22">
        <f>SUM(B18:I18)</f>
        <v>380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386</v>
      </c>
    </row>
    <row r="21" spans="1:11" ht="15.75" thickBot="1" x14ac:dyDescent="0.3">
      <c r="D21" s="12"/>
      <c r="H21" s="25" t="s">
        <v>34</v>
      </c>
      <c r="I21" s="24">
        <f>+J18-H14-G14</f>
        <v>22</v>
      </c>
    </row>
    <row r="22" spans="1:11" ht="15.75" thickBot="1" x14ac:dyDescent="0.3">
      <c r="D22" s="20"/>
      <c r="H22" s="26" t="s">
        <v>49</v>
      </c>
      <c r="I22" s="24">
        <f>+I21-J14</f>
        <v>-6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F11" sqref="F11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-395</v>
      </c>
      <c r="C57" s="61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2026-07-22T00:23:23Z</dcterms:modified>
</cp:coreProperties>
</file>