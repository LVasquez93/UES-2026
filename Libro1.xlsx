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 Vasquez\Desktop\UES-2026\"/>
    </mc:Choice>
  </mc:AlternateContent>
  <xr:revisionPtr revIDLastSave="0" documentId="13_ncr:1_{038B4F86-B4F7-4F75-83D3-7D6299207D15}" xr6:coauthVersionLast="47" xr6:coauthVersionMax="47" xr10:uidLastSave="{00000000-0000-0000-0000-000000000000}"/>
  <bookViews>
    <workbookView xWindow="-120" yWindow="-120" windowWidth="20640" windowHeight="11160" activeTab="2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4" i="3" l="1"/>
  <c r="H14" i="3"/>
  <c r="J14" i="3"/>
  <c r="C14" i="3"/>
  <c r="E13" i="3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F17" i="2"/>
  <c r="I21" i="3" l="1"/>
  <c r="I20" i="3"/>
  <c r="F19" i="2"/>
  <c r="I22" i="3" l="1"/>
  <c r="D17" i="2" l="1"/>
  <c r="D19" i="2" s="1"/>
</calcChain>
</file>

<file path=xl/sharedStrings.xml><?xml version="1.0" encoding="utf-8"?>
<sst xmlns="http://schemas.openxmlformats.org/spreadsheetml/2006/main" count="80" uniqueCount="60">
  <si>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</si>
  <si>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</si>
  <si>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</si>
  <si>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</si>
  <si>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</si>
  <si>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</si>
  <si>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</si>
  <si>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</si>
  <si>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</si>
  <si>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</si>
  <si>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</si>
  <si>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</si>
  <si>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</si>
  <si>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</si>
  <si>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</si>
  <si>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</si>
  <si>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</si>
  <si>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</si>
  <si>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</si>
  <si>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</si>
  <si>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</si>
  <si>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</si>
  <si>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</si>
  <si>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</si>
  <si>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</si>
  <si>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</si>
  <si>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</si>
  <si>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</si>
  <si>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</si>
  <si>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</si>
  <si>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</si>
  <si>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</si>
  <si>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Promerica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</si>
  <si>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</si>
  <si>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</si>
  <si>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</si>
  <si>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</si>
  <si>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</si>
  <si>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</si>
  <si>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</si>
  <si>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</si>
  <si>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</si>
  <si>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</si>
  <si>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</si>
  <si>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</si>
  <si>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</si>
  <si>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</si>
  <si>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</si>
  <si>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</si>
  <si>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</si>
  <si>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</si>
  <si>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</si>
  <si>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</si>
  <si>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</si>
  <si>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</si>
  <si>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</si>
  <si>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</si>
  <si>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</si>
  <si>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</si>
  <si>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Tasa cero Sillones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</si>
</sst>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2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5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21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13" tableBorderDxfId="12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11"/>
    <tableColumn id="4" xr3:uid="{B3C14A42-22A4-422A-B5B2-35BF05E35EEF}" name="Fecha Corte" dataDxfId="10"/>
    <tableColumn id="5" xr3:uid="{6869DC75-BE3A-4901-B724-828BF9F9A7D0}" name="Deuda a largo Plazo" dataDxfId="9">
      <calculatedColumnFormula>186.68-48</calculatedColumnFormula>
    </tableColumn>
    <tableColumn id="10" xr3:uid="{2810DEE2-032A-4175-802A-5F857D20294D}" name="Cuota a largo plazo" dataDxfId="8"/>
    <tableColumn id="13" xr3:uid="{F7FEE37A-0726-482F-99D8-F9C07724EC3E}" name="Suscripciones y otros gastos automáticos" dataDxfId="7"/>
    <tableColumn id="6" xr3:uid="{F6732F4E-388B-4DFE-91E1-BA3615EF330A}" name="Cantidad Adeudada" dataDxfId="6"/>
    <tableColumn id="7" xr3:uid="{1F40E7A5-C692-4043-8A55-5DC3E0A18EC9}" name="Fecha de pago" dataDxfId="5"/>
    <tableColumn id="8" xr3:uid="{186BC069-E422-445A-BA99-6BBE52ACA160}" name="Pendiente para siguiente corte" dataDxfId="4"/>
    <tableColumn id="9" xr3:uid="{ABA9A903-D4C5-4280-9E9A-38F020209A6A}" name="%" dataDxfId="3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H37"/>
  <sheetViews>
    <sheetView topLeftCell="A2" zoomScale="121" workbookViewId="0">
      <selection activeCell="G2" sqref="G2:G15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</cols>
  <sheetData>
    <row r="1" spans="2:8" x14ac:dyDescent="0.25">
      <c r="B1" s="13" t="s">
        <v>14</v>
      </c>
      <c r="C1" s="13"/>
      <c r="D1" s="13">
        <v>15</v>
      </c>
      <c r="F1" s="13">
        <v>30</v>
      </c>
    </row>
    <row r="2" spans="2:8" x14ac:dyDescent="0.25">
      <c r="B2" s="9" t="s">
        <v>2</v>
      </c>
      <c r="C2" s="9" t="s">
        <v>20</v>
      </c>
      <c r="D2" s="8">
        <v>60</v>
      </c>
      <c r="F2" s="8">
        <v>60</v>
      </c>
    </row>
    <row r="3" spans="2:8" x14ac:dyDescent="0.25">
      <c r="B3" s="9" t="s">
        <v>3</v>
      </c>
      <c r="C3" s="9" t="s">
        <v>41</v>
      </c>
      <c r="D3" s="8">
        <v>50</v>
      </c>
      <c r="F3" s="8">
        <v>50</v>
      </c>
    </row>
    <row r="4" spans="2:8" x14ac:dyDescent="0.25">
      <c r="B4" s="9" t="s">
        <v>4</v>
      </c>
      <c r="C4" s="9" t="s">
        <v>20</v>
      </c>
      <c r="D4" s="8">
        <v>10</v>
      </c>
      <c r="F4" s="8">
        <v>10</v>
      </c>
    </row>
    <row r="5" spans="2:8" x14ac:dyDescent="0.25">
      <c r="B5" s="9" t="s">
        <v>5</v>
      </c>
      <c r="C5" s="9" t="s">
        <v>20</v>
      </c>
      <c r="D5" s="8">
        <v>20</v>
      </c>
      <c r="F5" s="8">
        <v>20</v>
      </c>
    </row>
    <row r="6" spans="2:8" x14ac:dyDescent="0.25">
      <c r="B6" s="9" t="s">
        <v>6</v>
      </c>
      <c r="C6" s="9" t="s">
        <v>41</v>
      </c>
      <c r="D6" s="8">
        <v>60</v>
      </c>
      <c r="F6" s="8">
        <v>60</v>
      </c>
    </row>
    <row r="7" spans="2:8" x14ac:dyDescent="0.25">
      <c r="B7" s="9" t="s">
        <v>17</v>
      </c>
      <c r="C7" s="9" t="s">
        <v>44</v>
      </c>
      <c r="D7" s="8">
        <v>100</v>
      </c>
      <c r="F7" s="8">
        <v>100</v>
      </c>
    </row>
    <row r="8" spans="2:8" x14ac:dyDescent="0.25">
      <c r="B8" t="s">
        <v>7</v>
      </c>
      <c r="C8" t="s">
        <v>44</v>
      </c>
      <c r="D8" s="58">
        <v>95</v>
      </c>
    </row>
    <row r="9" spans="2:8" x14ac:dyDescent="0.25">
      <c r="B9" t="s">
        <v>18</v>
      </c>
      <c r="C9" t="s">
        <v>41</v>
      </c>
      <c r="F9">
        <v>10</v>
      </c>
    </row>
    <row r="10" spans="2:8" x14ac:dyDescent="0.25">
      <c r="B10" t="s">
        <v>16</v>
      </c>
      <c r="C10" t="s">
        <v>42</v>
      </c>
    </row>
    <row r="11" spans="2:8" x14ac:dyDescent="0.25">
      <c r="B11" t="s">
        <v>8</v>
      </c>
      <c r="C11" t="s">
        <v>43</v>
      </c>
      <c r="F11">
        <v>25</v>
      </c>
    </row>
    <row r="12" spans="2:8" x14ac:dyDescent="0.25">
      <c r="B12" t="s">
        <v>9</v>
      </c>
      <c r="C12" t="s">
        <v>43</v>
      </c>
      <c r="D12">
        <v>15</v>
      </c>
      <c r="F12">
        <v>5</v>
      </c>
      <c r="H12">
        <v>8286917</v>
      </c>
    </row>
    <row r="13" spans="2:8" x14ac:dyDescent="0.25">
      <c r="B13" t="s">
        <v>10</v>
      </c>
      <c r="C13" t="s">
        <v>42</v>
      </c>
    </row>
    <row r="14" spans="2:8" x14ac:dyDescent="0.25">
      <c r="B14" t="s">
        <v>15</v>
      </c>
      <c r="C14" t="s">
        <v>43</v>
      </c>
      <c r="F14">
        <v>31</v>
      </c>
    </row>
    <row r="15" spans="2:8" x14ac:dyDescent="0.25">
      <c r="B15" t="s">
        <v>59</v>
      </c>
      <c r="C15" t="s">
        <v>42</v>
      </c>
      <c r="D15">
        <v>48</v>
      </c>
    </row>
    <row r="17" spans="2:6" x14ac:dyDescent="0.25">
      <c r="B17" s="7" t="s">
        <v>11</v>
      </c>
      <c r="C17" s="7"/>
      <c r="D17" s="7">
        <f>SUM(D2:D16)</f>
        <v>458</v>
      </c>
      <c r="F17" s="7">
        <f>SUM(F2:F16)</f>
        <v>371</v>
      </c>
    </row>
    <row r="18" spans="2:6" x14ac:dyDescent="0.25">
      <c r="B18" s="6" t="s">
        <v>12</v>
      </c>
      <c r="C18" s="6"/>
      <c r="D18" s="6">
        <f>250+250</f>
        <v>500</v>
      </c>
      <c r="F18" s="6">
        <v>448</v>
      </c>
    </row>
    <row r="19" spans="2:6" x14ac:dyDescent="0.25">
      <c r="B19" s="5" t="s">
        <v>13</v>
      </c>
      <c r="C19" s="5"/>
      <c r="D19" s="5">
        <f>D18-D17</f>
        <v>42</v>
      </c>
      <c r="F19" s="5">
        <f>F18-F17</f>
        <v>77</v>
      </c>
    </row>
    <row r="20" spans="2:6" x14ac:dyDescent="0.25">
      <c r="D20" t="s">
        <v>48</v>
      </c>
    </row>
    <row r="37" ht="30.75" customHeight="1" x14ac:dyDescent="0.25"/>
  </sheetData>
  <conditionalFormatting sqref="C1:C1048576">
    <cfRule type="cellIs" dxfId="28" priority="1" operator="equal">
      <formula>$C$10</formula>
    </cfRule>
    <cfRule type="cellIs" dxfId="27" priority="2" operator="equal">
      <formula>$C$7</formula>
    </cfRule>
    <cfRule type="cellIs" dxfId="26" priority="3" operator="equal">
      <formula>$C$3</formula>
    </cfRule>
    <cfRule type="cellIs" dxfId="25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opLeftCell="A7" workbookViewId="0">
      <selection activeCell="E14" sqref="E14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1" bestFit="1" customWidth="1"/>
  </cols>
  <sheetData>
    <row r="1" spans="1:14" ht="15.75" thickBot="1" x14ac:dyDescent="0.3"/>
    <row r="2" spans="1:14" ht="45.75" thickBot="1" x14ac:dyDescent="0.3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55</v>
      </c>
      <c r="H2" s="28" t="s">
        <v>23</v>
      </c>
      <c r="I2" s="14" t="s">
        <v>22</v>
      </c>
      <c r="J2" s="29" t="s">
        <v>1</v>
      </c>
      <c r="K2" s="32" t="s">
        <v>46</v>
      </c>
    </row>
    <row r="3" spans="1:14" s="39" customFormat="1" x14ac:dyDescent="0.25">
      <c r="A3" s="39" t="s">
        <v>40</v>
      </c>
      <c r="B3" s="39" t="s">
        <v>31</v>
      </c>
      <c r="C3" s="40">
        <v>1750</v>
      </c>
      <c r="D3" s="41">
        <v>45815</v>
      </c>
      <c r="E3" s="42"/>
      <c r="F3" s="42"/>
      <c r="G3" s="40"/>
      <c r="H3" s="40"/>
      <c r="I3" s="41">
        <v>45871</v>
      </c>
      <c r="J3" s="42"/>
      <c r="K3" s="43"/>
    </row>
    <row r="4" spans="1:14" s="34" customFormat="1" x14ac:dyDescent="0.25">
      <c r="A4" s="34" t="s">
        <v>56</v>
      </c>
      <c r="B4" s="34" t="s">
        <v>24</v>
      </c>
      <c r="C4" s="35">
        <v>700</v>
      </c>
      <c r="D4" s="36">
        <v>45817</v>
      </c>
      <c r="E4" s="37"/>
      <c r="F4" s="37"/>
      <c r="G4" s="35"/>
      <c r="H4" s="35"/>
      <c r="I4" s="36">
        <v>45872</v>
      </c>
      <c r="J4" s="37"/>
      <c r="K4" s="38"/>
    </row>
    <row r="5" spans="1:14" x14ac:dyDescent="0.25">
      <c r="A5" t="s">
        <v>56</v>
      </c>
      <c r="B5" t="s">
        <v>25</v>
      </c>
      <c r="C5" s="3">
        <v>2000</v>
      </c>
      <c r="D5" s="20">
        <v>45817</v>
      </c>
      <c r="H5" s="12"/>
      <c r="I5" s="20">
        <v>46118</v>
      </c>
      <c r="J5" s="12">
        <v>269</v>
      </c>
      <c r="K5" s="31">
        <v>0.27900000000000003</v>
      </c>
      <c r="N5" s="4"/>
    </row>
    <row r="6" spans="1:14" s="30" customFormat="1" x14ac:dyDescent="0.25">
      <c r="A6" t="s">
        <v>32</v>
      </c>
      <c r="B6" t="s">
        <v>57</v>
      </c>
      <c r="C6" s="3">
        <v>840</v>
      </c>
      <c r="D6" s="20">
        <v>45817</v>
      </c>
      <c r="E6" s="12"/>
      <c r="F6" s="12"/>
      <c r="G6" s="12"/>
      <c r="H6" s="33"/>
      <c r="I6" s="20">
        <v>46118</v>
      </c>
      <c r="J6" s="12">
        <v>104.97</v>
      </c>
      <c r="K6" s="31"/>
    </row>
    <row r="7" spans="1:14" x14ac:dyDescent="0.25">
      <c r="A7" t="s">
        <v>33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1">
        <v>0.18</v>
      </c>
    </row>
    <row r="8" spans="1:14" s="34" customFormat="1" x14ac:dyDescent="0.25">
      <c r="A8" s="34" t="s">
        <v>39</v>
      </c>
      <c r="B8" s="34" t="s">
        <v>30</v>
      </c>
      <c r="C8" s="35">
        <v>1350</v>
      </c>
      <c r="D8" s="36">
        <v>45822</v>
      </c>
      <c r="E8" s="37"/>
      <c r="F8" s="37"/>
      <c r="G8" s="35"/>
      <c r="H8" s="35"/>
      <c r="I8" s="36">
        <v>45877</v>
      </c>
      <c r="J8" s="37"/>
      <c r="K8" s="38"/>
    </row>
    <row r="9" spans="1:14" s="52" customFormat="1" x14ac:dyDescent="0.25">
      <c r="A9" s="52" t="s">
        <v>29</v>
      </c>
      <c r="B9" s="52" t="s">
        <v>25</v>
      </c>
      <c r="C9" s="33">
        <v>1500</v>
      </c>
      <c r="D9" s="53">
        <v>45826</v>
      </c>
      <c r="E9" s="44"/>
      <c r="F9" s="44"/>
      <c r="G9" s="33"/>
      <c r="H9" s="33"/>
      <c r="I9" s="53">
        <v>45943</v>
      </c>
      <c r="J9" s="44"/>
      <c r="K9" s="54"/>
    </row>
    <row r="10" spans="1:14" s="30" customFormat="1" x14ac:dyDescent="0.25">
      <c r="A10" t="s">
        <v>29</v>
      </c>
      <c r="B10" t="s">
        <v>47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1"/>
    </row>
    <row r="11" spans="1:14" s="34" customFormat="1" x14ac:dyDescent="0.25">
      <c r="A11" s="34" t="s">
        <v>29</v>
      </c>
      <c r="B11" s="34" t="s">
        <v>45</v>
      </c>
      <c r="C11" s="35">
        <v>1500</v>
      </c>
      <c r="D11" s="36">
        <v>45829</v>
      </c>
      <c r="E11" s="37"/>
      <c r="F11" s="37"/>
      <c r="G11" s="35"/>
      <c r="H11" s="35"/>
      <c r="I11" s="36">
        <v>45885</v>
      </c>
      <c r="J11" s="37"/>
      <c r="K11" s="38"/>
    </row>
    <row r="12" spans="1:14" s="39" customFormat="1" x14ac:dyDescent="0.25">
      <c r="A12" s="39" t="s">
        <v>58</v>
      </c>
      <c r="B12" s="39" t="s">
        <v>57</v>
      </c>
      <c r="C12" s="40">
        <v>770</v>
      </c>
      <c r="D12" s="41">
        <v>45829</v>
      </c>
      <c r="E12" s="42"/>
      <c r="F12" s="42"/>
      <c r="G12" s="42"/>
      <c r="H12" s="40"/>
      <c r="I12" s="41">
        <v>45885</v>
      </c>
      <c r="J12" s="42"/>
      <c r="K12" s="43"/>
    </row>
    <row r="13" spans="1:14" x14ac:dyDescent="0.25">
      <c r="A13" s="39" t="s">
        <v>58</v>
      </c>
      <c r="B13" s="39" t="s">
        <v>57</v>
      </c>
      <c r="D13" s="41">
        <v>45798</v>
      </c>
      <c r="E13" s="12">
        <f t="shared" ref="E13" si="0">186.68-48</f>
        <v>138.68</v>
      </c>
      <c r="F13" s="12">
        <v>47.51</v>
      </c>
      <c r="G13" s="12"/>
      <c r="I13" s="20">
        <v>45946</v>
      </c>
    </row>
    <row r="14" spans="1:14" x14ac:dyDescent="0.25">
      <c r="A14" t="s">
        <v>0</v>
      </c>
      <c r="C14" s="21">
        <f>SUBTOTAL(109,C3:C13)</f>
        <v>14335</v>
      </c>
      <c r="D14" s="20"/>
      <c r="E14" s="21">
        <f>SUM(SUBTOTAL(109,E3:E13)+F13)</f>
        <v>186.19</v>
      </c>
      <c r="F14" s="21"/>
      <c r="G14" s="21">
        <f>SUM(G3:G13)</f>
        <v>0</v>
      </c>
      <c r="H14" s="21">
        <f>SUBTOTAL(109,H3:H13)</f>
        <v>0</v>
      </c>
      <c r="I14" s="21"/>
      <c r="J14" s="21">
        <f>SUBTOTAL(109,J3:J13)</f>
        <v>373.97</v>
      </c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0" ht="15.75" thickBot="1" x14ac:dyDescent="0.3">
      <c r="A17" s="1" t="s">
        <v>34</v>
      </c>
      <c r="B17" s="9" t="s">
        <v>36</v>
      </c>
      <c r="C17" s="24"/>
      <c r="D17" s="24">
        <v>46127</v>
      </c>
      <c r="E17" s="24">
        <v>46142</v>
      </c>
      <c r="F17" s="24">
        <v>46157</v>
      </c>
      <c r="G17" s="24">
        <v>46172</v>
      </c>
      <c r="H17" s="24"/>
      <c r="I17" s="24"/>
    </row>
    <row r="18" spans="1:10" ht="15.75" thickBot="1" x14ac:dyDescent="0.3">
      <c r="A18" s="1" t="s">
        <v>35</v>
      </c>
      <c r="B18" s="57">
        <v>319</v>
      </c>
      <c r="C18" s="2"/>
      <c r="D18" s="2">
        <v>40</v>
      </c>
      <c r="E18" s="2">
        <v>70</v>
      </c>
      <c r="F18" s="2"/>
      <c r="G18" s="2"/>
      <c r="H18" s="2"/>
      <c r="I18" s="22"/>
      <c r="J18" s="23">
        <f>SUM(B18:I18)</f>
        <v>429</v>
      </c>
    </row>
    <row r="19" spans="1:10" ht="15.75" thickBot="1" x14ac:dyDescent="0.3">
      <c r="C19" s="11"/>
      <c r="D19" s="11"/>
      <c r="E19" s="55"/>
      <c r="F19" s="55"/>
      <c r="G19" s="2"/>
      <c r="H19" s="2"/>
      <c r="I19" s="20"/>
    </row>
    <row r="20" spans="1:10" ht="15.75" thickBot="1" x14ac:dyDescent="0.3">
      <c r="D20" s="12"/>
      <c r="H20" s="56" t="s">
        <v>37</v>
      </c>
      <c r="I20" s="25">
        <f>+H14+J14+G14</f>
        <v>373.97</v>
      </c>
    </row>
    <row r="21" spans="1:10" ht="15.75" thickBot="1" x14ac:dyDescent="0.3">
      <c r="D21" s="12"/>
      <c r="H21" s="26" t="s">
        <v>38</v>
      </c>
      <c r="I21" s="25">
        <f>+J18-H14-G14</f>
        <v>429</v>
      </c>
    </row>
    <row r="22" spans="1:10" ht="15.75" thickBot="1" x14ac:dyDescent="0.3">
      <c r="D22" s="20"/>
      <c r="H22" s="27" t="s">
        <v>54</v>
      </c>
      <c r="I22" s="25">
        <f>+I21-J14</f>
        <v>55.029999999999973</v>
      </c>
    </row>
    <row r="23" spans="1:10" x14ac:dyDescent="0.25">
      <c r="D23" s="12"/>
      <c r="I23" s="20"/>
    </row>
    <row r="24" spans="1:10" x14ac:dyDescent="0.25">
      <c r="D24" s="12"/>
      <c r="I24" s="20"/>
    </row>
    <row r="25" spans="1:10" x14ac:dyDescent="0.25">
      <c r="D25" s="12"/>
      <c r="I25" s="20"/>
    </row>
    <row r="26" spans="1:10" x14ac:dyDescent="0.25">
      <c r="D26" s="12"/>
      <c r="I26" s="20"/>
    </row>
    <row r="27" spans="1:10" x14ac:dyDescent="0.25">
      <c r="D27" s="12"/>
      <c r="I27" s="20"/>
    </row>
    <row r="28" spans="1:10" x14ac:dyDescent="0.25">
      <c r="D28" s="12"/>
      <c r="I28" s="20"/>
    </row>
    <row r="29" spans="1:10" x14ac:dyDescent="0.25">
      <c r="D29" s="12"/>
      <c r="I29" s="20"/>
    </row>
    <row r="30" spans="1:10" x14ac:dyDescent="0.25">
      <c r="D30" s="11"/>
      <c r="I30" s="20"/>
    </row>
    <row r="31" spans="1:10" x14ac:dyDescent="0.25">
      <c r="D31" s="20"/>
      <c r="I31" s="20"/>
    </row>
    <row r="32" spans="1:10" x14ac:dyDescent="0.25">
      <c r="D32" s="11"/>
      <c r="I32" s="20"/>
    </row>
    <row r="33" spans="4:9" x14ac:dyDescent="0.25">
      <c r="D33" s="11"/>
      <c r="I33" s="20"/>
    </row>
    <row r="34" spans="4:9" x14ac:dyDescent="0.25">
      <c r="D34" s="11"/>
      <c r="I34" s="20"/>
    </row>
    <row r="35" spans="4:9" x14ac:dyDescent="0.25">
      <c r="D35" s="11"/>
      <c r="I35" s="20"/>
    </row>
    <row r="36" spans="4:9" x14ac:dyDescent="0.25">
      <c r="D36" s="11"/>
      <c r="I36" s="20"/>
    </row>
    <row r="37" spans="4:9" x14ac:dyDescent="0.25">
      <c r="D37" s="11"/>
      <c r="I37" s="20"/>
    </row>
    <row r="38" spans="4:9" x14ac:dyDescent="0.25">
      <c r="D38" s="11"/>
      <c r="I38" s="20"/>
    </row>
    <row r="39" spans="4:9" x14ac:dyDescent="0.25">
      <c r="D39" s="11"/>
      <c r="I39" s="20"/>
    </row>
    <row r="40" spans="4:9" x14ac:dyDescent="0.25">
      <c r="D40" s="11"/>
      <c r="I40" s="20"/>
    </row>
    <row r="41" spans="4:9" x14ac:dyDescent="0.25">
      <c r="D41" s="20"/>
      <c r="I41" s="20"/>
    </row>
    <row r="42" spans="4:9" x14ac:dyDescent="0.25">
      <c r="D42" s="12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24" priority="37" timePeriod="nextMonth">
      <formula>AND(MONTH(D1)=MONTH(EDATE(TODAY(),0+1)),YEAR(D1)=YEAR(EDATE(TODAY(),0+1)))</formula>
    </cfRule>
    <cfRule type="timePeriod" dxfId="23" priority="38" timePeriod="thisMonth">
      <formula>AND(MONTH(D1)=MONTH(TODAY()),YEAR(D1)=YEAR(TODAY()))</formula>
    </cfRule>
    <cfRule type="timePeriod" dxfId="22" priority="39" timePeriod="lastMonth">
      <formula>AND(MONTH(D1)=MONTH(EDATE(TODAY(),0-1)),YEAR(D1)=YEAR(EDATE(TODAY(),0-1)))</formula>
    </cfRule>
  </conditionalFormatting>
  <conditionalFormatting sqref="D22:D29 D31 D41:D1048576">
    <cfRule type="timePeriod" dxfId="21" priority="1" timePeriod="nextMonth">
      <formula>AND(MONTH(D22)=MONTH(EDATE(TODAY(),0+1)),YEAR(D22)=YEAR(EDATE(TODAY(),0+1)))</formula>
    </cfRule>
    <cfRule type="timePeriod" dxfId="20" priority="2" timePeriod="thisMonth">
      <formula>AND(MONTH(D22)=MONTH(TODAY()),YEAR(D22)=YEAR(TODAY()))</formula>
    </cfRule>
    <cfRule type="timePeriod" dxfId="19" priority="3" timePeriod="lastMonth">
      <formula>AND(MONTH(D22)=MONTH(EDATE(TODAY(),0-1)),YEAR(D22)=YEAR(EDATE(TODAY(),0-1)))</formula>
    </cfRule>
  </conditionalFormatting>
  <conditionalFormatting sqref="I1:I1048576">
    <cfRule type="timePeriod" dxfId="18" priority="40" timePeriod="nextMonth">
      <formula>AND(MONTH(I1)=MONTH(EDATE(TODAY(),0+1)),YEAR(I1)=YEAR(EDATE(TODAY(),0+1)))</formula>
    </cfRule>
    <cfRule type="timePeriod" dxfId="17" priority="41" timePeriod="thisMonth">
      <formula>AND(MONTH(I1)=MONTH(TODAY()),YEAR(I1)=YEAR(TODAY()))</formula>
    </cfRule>
  </conditionalFormatting>
  <conditionalFormatting sqref="I21">
    <cfRule type="cellIs" dxfId="16" priority="45" operator="greaterThan">
      <formula>0</formula>
    </cfRule>
  </conditionalFormatting>
  <conditionalFormatting sqref="I21:I22">
    <cfRule type="cellIs" dxfId="15" priority="42" operator="lessThan">
      <formula>0</formula>
    </cfRule>
  </conditionalFormatting>
  <conditionalFormatting sqref="I22">
    <cfRule type="cellIs" dxfId="14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F62"/>
  <sheetViews>
    <sheetView tabSelected="1" topLeftCell="A46" workbookViewId="0">
      <selection activeCell="E9" sqref="E9:F28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6" ht="30" x14ac:dyDescent="0.25">
      <c r="A1" s="45" t="s">
        <v>49</v>
      </c>
      <c r="B1" s="48" t="s">
        <v>52</v>
      </c>
      <c r="C1" s="48" t="s">
        <v>53</v>
      </c>
    </row>
    <row r="2" spans="1:6" x14ac:dyDescent="0.25">
      <c r="A2" s="47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6" x14ac:dyDescent="0.25">
      <c r="A3" s="47">
        <v>46037</v>
      </c>
      <c r="B3" s="11">
        <v>75</v>
      </c>
      <c r="C3" s="11">
        <v>50</v>
      </c>
      <c r="D3" t="b">
        <f t="shared" ca="1" si="0"/>
        <v>0</v>
      </c>
    </row>
    <row r="4" spans="1:6" x14ac:dyDescent="0.25">
      <c r="A4" s="47">
        <v>46053</v>
      </c>
      <c r="B4" s="11">
        <v>70</v>
      </c>
      <c r="C4" s="11">
        <v>0</v>
      </c>
      <c r="D4" t="b">
        <f t="shared" ca="1" si="0"/>
        <v>0</v>
      </c>
    </row>
    <row r="5" spans="1:6" x14ac:dyDescent="0.25">
      <c r="A5" s="47">
        <v>46068</v>
      </c>
      <c r="B5" s="11">
        <v>75</v>
      </c>
      <c r="C5" s="11">
        <v>0</v>
      </c>
      <c r="D5" t="b">
        <f t="shared" ca="1" si="0"/>
        <v>0</v>
      </c>
    </row>
    <row r="6" spans="1:6" x14ac:dyDescent="0.25">
      <c r="A6" s="47">
        <v>46081</v>
      </c>
      <c r="B6" s="11">
        <v>70</v>
      </c>
      <c r="C6" s="11">
        <v>0</v>
      </c>
      <c r="D6" t="b">
        <f t="shared" ca="1" si="0"/>
        <v>0</v>
      </c>
    </row>
    <row r="7" spans="1:6" x14ac:dyDescent="0.25">
      <c r="A7" s="47">
        <v>46096</v>
      </c>
      <c r="B7" s="11">
        <v>75</v>
      </c>
      <c r="C7" s="11">
        <v>150</v>
      </c>
      <c r="D7" t="b">
        <f t="shared" ca="1" si="0"/>
        <v>0</v>
      </c>
    </row>
    <row r="8" spans="1:6" x14ac:dyDescent="0.25">
      <c r="A8" s="47">
        <v>46112</v>
      </c>
      <c r="B8" s="11">
        <v>70</v>
      </c>
      <c r="C8" s="11">
        <v>100</v>
      </c>
      <c r="D8" t="b">
        <f t="shared" ca="1" si="0"/>
        <v>0</v>
      </c>
    </row>
    <row r="9" spans="1:6" x14ac:dyDescent="0.25">
      <c r="A9" s="47">
        <v>46127</v>
      </c>
      <c r="B9" s="11">
        <v>75</v>
      </c>
      <c r="C9" s="11"/>
      <c r="D9" t="b">
        <f t="shared" ca="1" si="0"/>
        <v>0</v>
      </c>
      <c r="E9">
        <v>100</v>
      </c>
      <c r="F9">
        <v>50</v>
      </c>
    </row>
    <row r="10" spans="1:6" x14ac:dyDescent="0.25">
      <c r="A10" s="47">
        <v>46142</v>
      </c>
      <c r="B10" s="11">
        <v>70</v>
      </c>
      <c r="C10" s="11"/>
      <c r="D10" t="b">
        <f t="shared" ca="1" si="0"/>
        <v>0</v>
      </c>
      <c r="E10">
        <v>100</v>
      </c>
    </row>
    <row r="11" spans="1:6" x14ac:dyDescent="0.25">
      <c r="A11" s="47">
        <v>46157</v>
      </c>
      <c r="B11" s="11">
        <v>75</v>
      </c>
      <c r="C11" s="11"/>
      <c r="D11" t="b">
        <f t="shared" ca="1" si="0"/>
        <v>0</v>
      </c>
      <c r="E11">
        <v>100</v>
      </c>
      <c r="F11">
        <v>50</v>
      </c>
    </row>
    <row r="12" spans="1:6" x14ac:dyDescent="0.25">
      <c r="A12" s="47">
        <v>46173</v>
      </c>
      <c r="B12" s="11">
        <v>70</v>
      </c>
      <c r="C12" s="11"/>
      <c r="D12" t="b">
        <f t="shared" ca="1" si="0"/>
        <v>0</v>
      </c>
      <c r="E12">
        <v>100</v>
      </c>
    </row>
    <row r="13" spans="1:6" x14ac:dyDescent="0.25">
      <c r="A13" s="47">
        <v>46188</v>
      </c>
      <c r="B13" s="11">
        <v>75</v>
      </c>
      <c r="C13" s="11"/>
      <c r="D13" t="b">
        <f t="shared" ca="1" si="0"/>
        <v>0</v>
      </c>
      <c r="E13">
        <v>100</v>
      </c>
    </row>
    <row r="14" spans="1:6" x14ac:dyDescent="0.25">
      <c r="A14" s="47">
        <v>46203</v>
      </c>
      <c r="B14" s="11">
        <v>70</v>
      </c>
      <c r="C14" s="11"/>
      <c r="D14" t="b">
        <f t="shared" ca="1" si="0"/>
        <v>0</v>
      </c>
      <c r="E14">
        <v>100</v>
      </c>
    </row>
    <row r="15" spans="1:6" x14ac:dyDescent="0.25">
      <c r="A15" s="47">
        <v>46218</v>
      </c>
      <c r="B15" s="11">
        <v>75</v>
      </c>
      <c r="C15" s="11"/>
      <c r="D15" t="b">
        <f t="shared" ca="1" si="0"/>
        <v>0</v>
      </c>
      <c r="E15">
        <v>100</v>
      </c>
    </row>
    <row r="16" spans="1:6" x14ac:dyDescent="0.25">
      <c r="A16" s="47">
        <v>46234</v>
      </c>
      <c r="B16" s="11">
        <v>70</v>
      </c>
      <c r="C16" s="11"/>
      <c r="D16" t="b">
        <f t="shared" ca="1" si="0"/>
        <v>0</v>
      </c>
      <c r="E16">
        <v>100</v>
      </c>
    </row>
    <row r="17" spans="1:5" x14ac:dyDescent="0.25">
      <c r="A17" s="47">
        <v>46249</v>
      </c>
      <c r="B17" s="11">
        <v>75</v>
      </c>
      <c r="C17" s="11"/>
      <c r="D17" t="b">
        <f t="shared" ca="1" si="0"/>
        <v>0</v>
      </c>
      <c r="E17">
        <v>100</v>
      </c>
    </row>
    <row r="18" spans="1:5" x14ac:dyDescent="0.25">
      <c r="A18" s="47">
        <v>46265</v>
      </c>
      <c r="B18" s="11">
        <v>70</v>
      </c>
      <c r="C18" s="11"/>
      <c r="D18" t="b">
        <f t="shared" ca="1" si="0"/>
        <v>0</v>
      </c>
      <c r="E18">
        <v>100</v>
      </c>
    </row>
    <row r="19" spans="1:5" x14ac:dyDescent="0.25">
      <c r="A19" s="47">
        <v>46280</v>
      </c>
      <c r="B19" s="11">
        <v>75</v>
      </c>
      <c r="C19" s="11"/>
      <c r="D19" t="b">
        <f t="shared" ca="1" si="0"/>
        <v>0</v>
      </c>
      <c r="E19">
        <v>100</v>
      </c>
    </row>
    <row r="20" spans="1:5" x14ac:dyDescent="0.25">
      <c r="A20" s="47">
        <v>46295</v>
      </c>
      <c r="B20" s="11">
        <v>70</v>
      </c>
      <c r="C20" s="11"/>
      <c r="D20" t="b">
        <f t="shared" ca="1" si="0"/>
        <v>0</v>
      </c>
      <c r="E20">
        <v>100</v>
      </c>
    </row>
    <row r="21" spans="1:5" x14ac:dyDescent="0.25">
      <c r="A21" s="47">
        <v>46310</v>
      </c>
      <c r="B21" s="11">
        <v>75</v>
      </c>
      <c r="C21" s="11"/>
      <c r="D21" t="b">
        <f t="shared" ca="1" si="0"/>
        <v>0</v>
      </c>
      <c r="E21">
        <v>100</v>
      </c>
    </row>
    <row r="22" spans="1:5" x14ac:dyDescent="0.25">
      <c r="A22" s="47">
        <v>46326</v>
      </c>
      <c r="B22" s="11">
        <v>70</v>
      </c>
      <c r="C22" s="11"/>
      <c r="D22" t="b">
        <f t="shared" ca="1" si="0"/>
        <v>0</v>
      </c>
      <c r="E22">
        <v>100</v>
      </c>
    </row>
    <row r="23" spans="1:5" x14ac:dyDescent="0.25">
      <c r="A23" s="47">
        <v>46341</v>
      </c>
      <c r="B23" s="11">
        <v>75</v>
      </c>
      <c r="C23" s="11"/>
      <c r="D23" t="b">
        <f t="shared" ca="1" si="0"/>
        <v>0</v>
      </c>
      <c r="E23">
        <v>100</v>
      </c>
    </row>
    <row r="24" spans="1:5" x14ac:dyDescent="0.25">
      <c r="A24" s="47">
        <v>46356</v>
      </c>
      <c r="B24" s="11">
        <v>70</v>
      </c>
      <c r="C24" s="11"/>
      <c r="D24" t="b">
        <f t="shared" ca="1" si="0"/>
        <v>0</v>
      </c>
      <c r="E24">
        <v>100</v>
      </c>
    </row>
    <row r="25" spans="1:5" x14ac:dyDescent="0.25">
      <c r="A25" s="47">
        <v>46371</v>
      </c>
      <c r="B25" s="11">
        <v>75</v>
      </c>
      <c r="C25" s="11"/>
      <c r="D25" t="b">
        <f t="shared" ca="1" si="0"/>
        <v>0</v>
      </c>
      <c r="E25">
        <v>100</v>
      </c>
    </row>
    <row r="26" spans="1:5" x14ac:dyDescent="0.25">
      <c r="A26" s="46" t="s">
        <v>50</v>
      </c>
      <c r="B26" s="11">
        <v>250</v>
      </c>
      <c r="C26" s="11"/>
      <c r="D26" t="b">
        <f t="shared" ca="1" si="0"/>
        <v>0</v>
      </c>
    </row>
    <row r="27" spans="1:5" x14ac:dyDescent="0.25">
      <c r="A27" s="46" t="s">
        <v>51</v>
      </c>
      <c r="B27" s="11">
        <v>315</v>
      </c>
      <c r="C27" s="11"/>
      <c r="D27" t="b">
        <f t="shared" ca="1" si="0"/>
        <v>0</v>
      </c>
    </row>
    <row r="28" spans="1:5" x14ac:dyDescent="0.25">
      <c r="A28" s="47">
        <v>46387</v>
      </c>
      <c r="B28" s="11">
        <v>70</v>
      </c>
      <c r="C28" s="49"/>
      <c r="D28" t="b">
        <f t="shared" ca="1" si="0"/>
        <v>0</v>
      </c>
      <c r="E28">
        <v>100</v>
      </c>
    </row>
    <row r="29" spans="1:5" x14ac:dyDescent="0.25">
      <c r="A29" s="47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5" x14ac:dyDescent="0.25">
      <c r="A30" s="47">
        <v>46418</v>
      </c>
      <c r="B30" s="11">
        <v>70</v>
      </c>
      <c r="C30" s="11"/>
      <c r="D30" t="b">
        <f t="shared" ca="1" si="1"/>
        <v>0</v>
      </c>
    </row>
    <row r="31" spans="1:5" x14ac:dyDescent="0.25">
      <c r="A31" s="47">
        <v>46433</v>
      </c>
      <c r="B31" s="11">
        <v>75</v>
      </c>
      <c r="C31" s="11"/>
      <c r="D31" t="b">
        <f t="shared" ca="1" si="1"/>
        <v>0</v>
      </c>
    </row>
    <row r="32" spans="1:5" x14ac:dyDescent="0.25">
      <c r="A32" s="47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7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7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7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7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7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7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7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7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7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7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7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7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7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7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7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7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7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7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7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6" t="s">
        <v>50</v>
      </c>
      <c r="B52" s="11">
        <v>250</v>
      </c>
      <c r="C52" s="11"/>
      <c r="D52" t="b">
        <f t="shared" ca="1" si="1"/>
        <v>0</v>
      </c>
    </row>
    <row r="53" spans="1:4" x14ac:dyDescent="0.25">
      <c r="A53" s="46" t="s">
        <v>51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7">
        <v>46752</v>
      </c>
      <c r="B54" s="11">
        <v>70</v>
      </c>
      <c r="C54" s="49"/>
      <c r="D54" t="b">
        <f t="shared" ca="1" si="1"/>
        <v>0</v>
      </c>
    </row>
    <row r="55" spans="1:4" ht="15.75" thickBot="1" x14ac:dyDescent="0.3">
      <c r="B55" s="50">
        <f>SUM(B2:B54)</f>
        <v>4610</v>
      </c>
      <c r="C55" s="51">
        <f>SUM(C2:C54)</f>
        <v>300</v>
      </c>
    </row>
    <row r="56" spans="1:4" ht="15.75" thickBot="1" x14ac:dyDescent="0.3">
      <c r="B56" s="3"/>
      <c r="C56" s="3"/>
    </row>
    <row r="57" spans="1:4" ht="15.75" thickBot="1" x14ac:dyDescent="0.3">
      <c r="B57" s="60">
        <f ca="1">IFERROR(SUMIFS(C2:C54,A2:A54,"&lt;="&amp;TODAY()),0)-IFERROR(SUMIFS(B2:B54,A2:A54,"&lt;="&amp;TODAY()),0)</f>
        <v>-135</v>
      </c>
      <c r="C57" s="61"/>
    </row>
    <row r="58" spans="1:4" x14ac:dyDescent="0.25">
      <c r="B58" s="59"/>
      <c r="C58" s="3"/>
    </row>
    <row r="59" spans="1:4" x14ac:dyDescent="0.25">
      <c r="B59"/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2026-04-06T02:44:46Z</dcterms:modified>
</cp:coreProperties>
</file>