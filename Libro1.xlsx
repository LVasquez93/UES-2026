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 Vasquez\Desktop\UES-2026\"/>
    </mc:Choice>
  </mc:AlternateContent>
  <xr:revisionPtr revIDLastSave="0" documentId="13_ncr:1_{298A6F3C-C8DC-4032-AE61-81C069EB6857}" xr6:coauthVersionLast="47" xr6:coauthVersionMax="47" xr10:uidLastSave="{00000000-0000-0000-0000-000000000000}"/>
  <bookViews>
    <workbookView xWindow="-120" yWindow="-120" windowWidth="20640" windowHeight="11160" activeTab="1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" i="2" l="1"/>
  <c r="J4" i="2"/>
  <c r="J3" i="2"/>
  <c r="J2" i="2"/>
  <c r="D16" i="2"/>
  <c r="F16" i="2"/>
  <c r="J14" i="3"/>
  <c r="E14" i="3"/>
  <c r="H14" i="3"/>
  <c r="C14" i="3"/>
  <c r="B57" i="4"/>
  <c r="B55" i="4"/>
  <c r="C55" i="4"/>
  <c r="D17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I21" i="3" l="1"/>
  <c r="I20" i="3"/>
  <c r="F18" i="2"/>
  <c r="I22" i="3" l="1"/>
  <c r="D18" i="2" l="1"/>
  <c r="J6" i="2" s="1"/>
  <c r="J7" i="2" s="1"/>
  <c r="K3" i="2" l="1"/>
  <c r="K4" i="2"/>
  <c r="K6" i="2"/>
  <c r="K5" i="2"/>
  <c r="K2" i="2"/>
</calcChain>
</file>

<file path=xl/sharedStrings.xml><?xml version="1.0" encoding="utf-8"?>
<sst xmlns="http://schemas.openxmlformats.org/spreadsheetml/2006/main" count="87" uniqueCount="65">
  <si>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</si>
  <si>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</si>
  <si>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</si>
  <si>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</si>
  <si>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</si>
  <si>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</si>
  <si>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</si>
  <si>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</si>
  <si>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</si>
  <si>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</si>
  <si>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GASTOS</t>
  </si>
  <si>
    <t>SALARIO</t>
  </si>
  <si>
    <t>SOBRANTE</t>
  </si>
  <si>
    <t>actual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</si>
  <si>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</si>
  <si>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</si>
  <si>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</si>
  <si>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</si>
  <si>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</si>
  <si>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</si>
  <si>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</si>
  <si>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</si>
  <si>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</si>
  <si>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</si>
  <si>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</si>
  <si>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</si>
  <si>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</si>
  <si>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</si>
  <si>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</si>
  <si>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</si>
  <si>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</si>
  <si>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</si>
  <si>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</si>
  <si>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</si>
  <si>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</si>
  <si>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</si>
  <si>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</si>
  <si>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</si>
  <si>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</si>
  <si>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</si>
  <si>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</si>
  <si>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</si>
  <si>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</si>
  <si>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</si>
  <si>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</si>
  <si>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</si>
  <si>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</si>
  <si>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</si>
  <si>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</si>
  <si>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</si>
  <si>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</si>
  <si>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</si>
  <si>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</si>
  <si>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</si>
  <si>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COM</t>
  </si>
  <si>
    <t>incpcdd</t>
  </si>
  <si>
    <t>GASTOS FIJOS</t>
  </si>
  <si>
    <t>AHORROS</t>
  </si>
  <si>
    <t>DEUDA FIJA</t>
  </si>
  <si>
    <t>SERVICIOS</t>
  </si>
  <si>
    <t>TOTAL</t>
  </si>
  <si>
    <t>TIPO</t>
  </si>
  <si>
    <t>MONTO</t>
  </si>
  <si>
    <t>OCIO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</si>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</sst>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4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0" fillId="0" borderId="1" xfId="0" quotePrefix="1" applyNumberFormat="1" applyBorder="1"/>
    <xf numFmtId="0" fontId="1" fillId="2" borderId="0" xfId="0" applyFont="1" applyFill="1"/>
    <xf numFmtId="165" fontId="0" fillId="0" borderId="1" xfId="1" applyNumberFormat="1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21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13" tableBorderDxfId="12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11"/>
    <tableColumn id="4" xr3:uid="{B3C14A42-22A4-422A-B5B2-35BF05E35EEF}" name="Fecha Corte" dataDxfId="10"/>
    <tableColumn id="5" xr3:uid="{6869DC75-BE3A-4901-B724-828BF9F9A7D0}" name="Deuda a largo Plazo" dataDxfId="9">
      <calculatedColumnFormula>186.68-48</calculatedColumnFormula>
    </tableColumn>
    <tableColumn id="10" xr3:uid="{2810DEE2-032A-4175-802A-5F857D20294D}" name="Cuota a largo plazo" dataDxfId="8"/>
    <tableColumn id="13" xr3:uid="{F7FEE37A-0726-482F-99D8-F9C07724EC3E}" name="Suscripciones y otros gastos automáticos" dataDxfId="7"/>
    <tableColumn id="6" xr3:uid="{F6732F4E-388B-4DFE-91E1-BA3615EF330A}" name="Cantidad Adeudada" dataDxfId="6"/>
    <tableColumn id="7" xr3:uid="{1F40E7A5-C692-4043-8A55-5DC3E0A18EC9}" name="Fecha de pago" dataDxfId="5"/>
    <tableColumn id="8" xr3:uid="{186BC069-E422-445A-BA99-6BBE52ACA160}" name="Pendiente para siguiente corte" dataDxfId="4"/>
    <tableColumn id="9" xr3:uid="{ABA9A903-D4C5-4280-9E9A-38F020209A6A}" name="%" dataDxfId="3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M36"/>
  <sheetViews>
    <sheetView topLeftCell="A4" zoomScale="121" workbookViewId="0">
      <selection activeCell="J2" sqref="J2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  <col min="9" max="9" width="13.140625" bestFit="1" customWidth="1"/>
  </cols>
  <sheetData>
    <row r="1" spans="2:13" x14ac:dyDescent="0.25">
      <c r="B1" s="13" t="s">
        <v>13</v>
      </c>
      <c r="C1" s="13"/>
      <c r="D1" s="13">
        <v>15</v>
      </c>
      <c r="F1" s="13">
        <v>30</v>
      </c>
      <c r="I1" s="60" t="s">
        <v>61</v>
      </c>
      <c r="J1" s="60" t="s">
        <v>62</v>
      </c>
      <c r="K1" s="60" t="s">
        <v>41</v>
      </c>
    </row>
    <row r="2" spans="2:13" x14ac:dyDescent="0.25">
      <c r="B2" s="9" t="s">
        <v>2</v>
      </c>
      <c r="C2" s="9" t="s">
        <v>17</v>
      </c>
      <c r="D2" s="8">
        <v>60</v>
      </c>
      <c r="F2" s="8">
        <v>60</v>
      </c>
      <c r="I2" s="9" t="s">
        <v>56</v>
      </c>
      <c r="J2" s="11">
        <f>SUM(D2:F6)</f>
        <v>400</v>
      </c>
      <c r="K2" s="61">
        <f>100/$J$7*J2/100</f>
        <v>0.4219409282700422</v>
      </c>
    </row>
    <row r="3" spans="2:13" x14ac:dyDescent="0.25">
      <c r="B3" s="9" t="s">
        <v>3</v>
      </c>
      <c r="C3" s="9" t="s">
        <v>37</v>
      </c>
      <c r="D3" s="8">
        <v>50</v>
      </c>
      <c r="F3" s="8">
        <v>50</v>
      </c>
      <c r="G3" t="s">
        <v>64</v>
      </c>
      <c r="I3" s="9" t="s">
        <v>57</v>
      </c>
      <c r="J3" s="11">
        <f>+D7+F7</f>
        <v>0</v>
      </c>
      <c r="K3" s="61">
        <f t="shared" ref="K3:K6" si="0">100/$J$7*J3/100</f>
        <v>0</v>
      </c>
    </row>
    <row r="4" spans="2:13" x14ac:dyDescent="0.25">
      <c r="B4" s="9" t="s">
        <v>4</v>
      </c>
      <c r="C4" s="9" t="s">
        <v>17</v>
      </c>
      <c r="D4" s="8">
        <v>10</v>
      </c>
      <c r="F4" s="8">
        <v>10</v>
      </c>
      <c r="I4" s="9" t="s">
        <v>58</v>
      </c>
      <c r="J4" s="11">
        <f>D8</f>
        <v>95</v>
      </c>
      <c r="K4" s="61">
        <f t="shared" si="0"/>
        <v>0.10021097046413502</v>
      </c>
    </row>
    <row r="5" spans="2:13" x14ac:dyDescent="0.25">
      <c r="B5" s="9" t="s">
        <v>5</v>
      </c>
      <c r="C5" s="9" t="s">
        <v>17</v>
      </c>
      <c r="D5" s="8">
        <v>20</v>
      </c>
      <c r="F5" s="8">
        <v>20</v>
      </c>
      <c r="I5" s="9" t="s">
        <v>59</v>
      </c>
      <c r="J5" s="11">
        <f>SUM(D9:F11)</f>
        <v>55</v>
      </c>
      <c r="K5" s="61">
        <f t="shared" si="0"/>
        <v>5.8016877637130808E-2</v>
      </c>
    </row>
    <row r="6" spans="2:13" x14ac:dyDescent="0.25">
      <c r="B6" s="9" t="s">
        <v>6</v>
      </c>
      <c r="C6" s="9" t="s">
        <v>37</v>
      </c>
      <c r="D6" s="8">
        <v>60</v>
      </c>
      <c r="F6" s="8">
        <v>60</v>
      </c>
      <c r="G6" t="s">
        <v>64</v>
      </c>
      <c r="I6" s="9" t="s">
        <v>63</v>
      </c>
      <c r="J6" s="11">
        <f>D18+F18</f>
        <v>398</v>
      </c>
      <c r="K6" s="61">
        <f t="shared" si="0"/>
        <v>0.41983122362869196</v>
      </c>
    </row>
    <row r="7" spans="2:13" x14ac:dyDescent="0.25">
      <c r="B7" s="9" t="s">
        <v>14</v>
      </c>
      <c r="C7" s="9" t="s">
        <v>39</v>
      </c>
      <c r="D7" s="8"/>
      <c r="F7" s="8"/>
      <c r="I7" s="60" t="s">
        <v>60</v>
      </c>
      <c r="J7" s="60">
        <f>SUM(J2:J6)</f>
        <v>948</v>
      </c>
    </row>
    <row r="8" spans="2:13" x14ac:dyDescent="0.25">
      <c r="B8" t="s">
        <v>7</v>
      </c>
      <c r="C8" t="s">
        <v>39</v>
      </c>
      <c r="D8" s="57">
        <v>95</v>
      </c>
    </row>
    <row r="9" spans="2:13" x14ac:dyDescent="0.25">
      <c r="B9" t="s">
        <v>15</v>
      </c>
      <c r="C9" t="s">
        <v>37</v>
      </c>
      <c r="F9">
        <v>10</v>
      </c>
      <c r="G9" t="s">
        <v>64</v>
      </c>
      <c r="M9">
        <v>10</v>
      </c>
    </row>
    <row r="10" spans="2:13" x14ac:dyDescent="0.25">
      <c r="B10" t="s">
        <v>8</v>
      </c>
      <c r="C10" t="s">
        <v>38</v>
      </c>
      <c r="F10">
        <v>25</v>
      </c>
      <c r="G10" t="s">
        <v>64</v>
      </c>
      <c r="M10">
        <v>30</v>
      </c>
    </row>
    <row r="11" spans="2:13" x14ac:dyDescent="0.25">
      <c r="B11" t="s">
        <v>9</v>
      </c>
      <c r="C11" t="s">
        <v>38</v>
      </c>
      <c r="D11">
        <v>15</v>
      </c>
      <c r="F11">
        <v>5</v>
      </c>
      <c r="G11" t="s">
        <v>64</v>
      </c>
      <c r="H11">
        <v>8286917</v>
      </c>
      <c r="M11">
        <v>50</v>
      </c>
    </row>
    <row r="12" spans="2:13" x14ac:dyDescent="0.25">
      <c r="K12" s="3"/>
      <c r="M12">
        <v>60</v>
      </c>
    </row>
    <row r="16" spans="2:13" x14ac:dyDescent="0.25">
      <c r="B16" s="7" t="s">
        <v>10</v>
      </c>
      <c r="C16" s="7"/>
      <c r="D16" s="7">
        <f>SUM(D2:D15)</f>
        <v>310</v>
      </c>
      <c r="F16" s="7">
        <f>SUM(F2:F15)</f>
        <v>240</v>
      </c>
    </row>
    <row r="17" spans="2:6" x14ac:dyDescent="0.25">
      <c r="B17" s="6" t="s">
        <v>11</v>
      </c>
      <c r="C17" s="6"/>
      <c r="D17" s="6">
        <f>250+250</f>
        <v>500</v>
      </c>
      <c r="F17" s="6">
        <v>448</v>
      </c>
    </row>
    <row r="18" spans="2:6" x14ac:dyDescent="0.25">
      <c r="B18" s="5" t="s">
        <v>12</v>
      </c>
      <c r="C18" s="5"/>
      <c r="D18" s="5">
        <f>D17-D16</f>
        <v>190</v>
      </c>
      <c r="F18" s="5">
        <f>F17-F16</f>
        <v>208</v>
      </c>
    </row>
    <row r="19" spans="2:6" x14ac:dyDescent="0.25">
      <c r="D19" t="s">
        <v>43</v>
      </c>
    </row>
    <row r="36" ht="30.75" customHeight="1" x14ac:dyDescent="0.25"/>
  </sheetData>
  <conditionalFormatting sqref="C1:C1048576">
    <cfRule type="cellIs" dxfId="28" priority="46" operator="equal">
      <formula>#REF!</formula>
    </cfRule>
    <cfRule type="cellIs" dxfId="27" priority="47" operator="equal">
      <formula>$C$7</formula>
    </cfRule>
    <cfRule type="cellIs" dxfId="26" priority="48" operator="equal">
      <formula>$C$3</formula>
    </cfRule>
    <cfRule type="cellIs" dxfId="25" priority="49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abSelected="1" topLeftCell="A5" zoomScale="109" workbookViewId="0">
      <selection activeCell="F18" sqref="F18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0" bestFit="1" customWidth="1"/>
  </cols>
  <sheetData>
    <row r="1" spans="1:14" ht="15.75" thickBot="1" x14ac:dyDescent="0.3"/>
    <row r="2" spans="1:14" ht="45.75" thickBot="1" x14ac:dyDescent="0.3">
      <c r="A2" s="14" t="s">
        <v>16</v>
      </c>
      <c r="B2" s="14" t="s">
        <v>17</v>
      </c>
      <c r="C2" s="15" t="s">
        <v>18</v>
      </c>
      <c r="D2" s="16" t="s">
        <v>23</v>
      </c>
      <c r="E2" s="17" t="s">
        <v>24</v>
      </c>
      <c r="F2" s="17" t="s">
        <v>25</v>
      </c>
      <c r="G2" s="18" t="s">
        <v>50</v>
      </c>
      <c r="H2" s="27" t="s">
        <v>20</v>
      </c>
      <c r="I2" s="14" t="s">
        <v>19</v>
      </c>
      <c r="J2" s="28" t="s">
        <v>1</v>
      </c>
      <c r="K2" s="31" t="s">
        <v>41</v>
      </c>
    </row>
    <row r="3" spans="1:14" s="51" customFormat="1" x14ac:dyDescent="0.25">
      <c r="A3" s="51" t="s">
        <v>36</v>
      </c>
      <c r="B3" s="51" t="s">
        <v>28</v>
      </c>
      <c r="C3" s="32">
        <v>2100</v>
      </c>
      <c r="D3" s="52">
        <v>45815</v>
      </c>
      <c r="E3" s="43"/>
      <c r="F3" s="43"/>
      <c r="G3" s="32"/>
      <c r="H3" s="43"/>
      <c r="I3" s="52">
        <v>46204</v>
      </c>
      <c r="J3" s="43"/>
      <c r="K3" s="53"/>
    </row>
    <row r="4" spans="1:14" s="33" customFormat="1" x14ac:dyDescent="0.25">
      <c r="A4" s="33" t="s">
        <v>51</v>
      </c>
      <c r="B4" s="33" t="s">
        <v>21</v>
      </c>
      <c r="C4" s="34">
        <v>700</v>
      </c>
      <c r="D4" s="35">
        <v>45817</v>
      </c>
      <c r="E4" s="36"/>
      <c r="F4" s="36"/>
      <c r="G4" s="34"/>
      <c r="H4" s="34"/>
      <c r="I4" s="35">
        <v>45872</v>
      </c>
      <c r="J4" s="36"/>
      <c r="K4" s="37"/>
    </row>
    <row r="5" spans="1:14" x14ac:dyDescent="0.25">
      <c r="A5" t="s">
        <v>51</v>
      </c>
      <c r="B5" t="s">
        <v>22</v>
      </c>
      <c r="C5" s="3">
        <v>2000</v>
      </c>
      <c r="D5" s="20">
        <v>45817</v>
      </c>
      <c r="H5" s="12">
        <v>263</v>
      </c>
      <c r="I5" s="20">
        <v>46237</v>
      </c>
      <c r="J5" s="12">
        <v>70</v>
      </c>
      <c r="N5" s="4"/>
    </row>
    <row r="6" spans="1:14" s="29" customFormat="1" x14ac:dyDescent="0.25">
      <c r="A6"/>
      <c r="B6" t="s">
        <v>52</v>
      </c>
      <c r="C6" s="3">
        <v>840</v>
      </c>
      <c r="D6" s="20">
        <v>45817</v>
      </c>
      <c r="E6" s="12"/>
      <c r="F6" s="12"/>
      <c r="G6" s="12"/>
      <c r="H6" s="12">
        <v>95</v>
      </c>
      <c r="I6" s="20">
        <v>46241</v>
      </c>
      <c r="J6" s="12">
        <v>60</v>
      </c>
      <c r="K6" s="30"/>
    </row>
    <row r="7" spans="1:14" x14ac:dyDescent="0.25">
      <c r="A7" t="s">
        <v>29</v>
      </c>
      <c r="B7" t="s">
        <v>22</v>
      </c>
      <c r="C7" s="3">
        <v>1925</v>
      </c>
      <c r="D7" s="20">
        <v>45817</v>
      </c>
      <c r="G7" s="12"/>
      <c r="H7" s="12"/>
      <c r="I7" s="20">
        <v>45874</v>
      </c>
      <c r="K7" s="30">
        <v>0.18</v>
      </c>
    </row>
    <row r="8" spans="1:14" s="33" customFormat="1" x14ac:dyDescent="0.25">
      <c r="A8" s="33" t="s">
        <v>35</v>
      </c>
      <c r="B8" s="33" t="s">
        <v>27</v>
      </c>
      <c r="C8" s="34">
        <v>1600</v>
      </c>
      <c r="D8" s="35">
        <v>45822</v>
      </c>
      <c r="E8" s="36"/>
      <c r="F8" s="36"/>
      <c r="G8" s="34"/>
      <c r="H8" s="34"/>
      <c r="I8" s="35">
        <v>45877</v>
      </c>
      <c r="J8" s="36"/>
      <c r="K8" s="37"/>
    </row>
    <row r="9" spans="1:14" s="51" customFormat="1" x14ac:dyDescent="0.25">
      <c r="A9" s="51" t="s">
        <v>26</v>
      </c>
      <c r="B9" s="51" t="s">
        <v>22</v>
      </c>
      <c r="C9" s="32">
        <v>1500</v>
      </c>
      <c r="D9" s="52">
        <v>45826</v>
      </c>
      <c r="E9" s="43"/>
      <c r="F9" s="43"/>
      <c r="G9" s="32"/>
      <c r="H9" s="32"/>
      <c r="I9" s="52">
        <v>45943</v>
      </c>
      <c r="J9" s="43"/>
      <c r="K9" s="53"/>
    </row>
    <row r="10" spans="1:14" s="29" customFormat="1" x14ac:dyDescent="0.25">
      <c r="A10" t="s">
        <v>26</v>
      </c>
      <c r="B10" t="s">
        <v>42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0"/>
    </row>
    <row r="11" spans="1:14" s="33" customFormat="1" x14ac:dyDescent="0.25">
      <c r="A11" s="33" t="s">
        <v>26</v>
      </c>
      <c r="B11" s="33" t="s">
        <v>40</v>
      </c>
      <c r="C11" s="34">
        <v>1500</v>
      </c>
      <c r="D11" s="35">
        <v>45829</v>
      </c>
      <c r="E11" s="36"/>
      <c r="F11" s="36"/>
      <c r="G11" s="34"/>
      <c r="H11" s="34"/>
      <c r="I11" s="35">
        <v>45885</v>
      </c>
      <c r="J11" s="36"/>
      <c r="K11" s="37"/>
    </row>
    <row r="12" spans="1:14" s="38" customFormat="1" x14ac:dyDescent="0.25">
      <c r="A12" s="38" t="s">
        <v>53</v>
      </c>
      <c r="B12" s="38" t="s">
        <v>52</v>
      </c>
      <c r="C12" s="39">
        <v>770</v>
      </c>
      <c r="D12" s="40">
        <v>45829</v>
      </c>
      <c r="E12" s="41"/>
      <c r="F12" s="41"/>
      <c r="G12" s="41"/>
      <c r="H12" s="39"/>
      <c r="I12" s="40">
        <v>45885</v>
      </c>
      <c r="J12" s="41"/>
      <c r="K12" s="42"/>
    </row>
    <row r="13" spans="1:14" x14ac:dyDescent="0.25">
      <c r="A13" s="38" t="s">
        <v>53</v>
      </c>
      <c r="B13" s="38" t="s">
        <v>52</v>
      </c>
      <c r="D13" s="40">
        <v>45798</v>
      </c>
      <c r="E13" s="12">
        <v>46.42</v>
      </c>
      <c r="G13" s="12"/>
      <c r="I13" s="20">
        <v>45946</v>
      </c>
    </row>
    <row r="14" spans="1:14" x14ac:dyDescent="0.25">
      <c r="A14" t="s">
        <v>0</v>
      </c>
      <c r="C14" s="21">
        <f>SUBTOTAL(109,C3:C13)</f>
        <v>14935</v>
      </c>
      <c r="D14" s="20"/>
      <c r="E14" s="21">
        <f>SUM(SUBTOTAL(109,E3:E13)+F13)</f>
        <v>46.42</v>
      </c>
      <c r="F14" s="21"/>
      <c r="G14" s="21">
        <f>SUM(G3:G13)</f>
        <v>0</v>
      </c>
      <c r="H14" s="21">
        <f>SUBTOTAL(109,H3:H13)</f>
        <v>358</v>
      </c>
      <c r="I14" s="21"/>
      <c r="J14" s="21">
        <f>SUBTOTAL(109,J3:J13)</f>
        <v>130</v>
      </c>
      <c r="N14" s="3"/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1" ht="15.75" thickBot="1" x14ac:dyDescent="0.3">
      <c r="A17" s="1" t="s">
        <v>30</v>
      </c>
      <c r="B17" s="9" t="s">
        <v>32</v>
      </c>
      <c r="C17" s="23">
        <v>46233</v>
      </c>
      <c r="D17" s="23"/>
      <c r="E17" s="23" t="s">
        <v>54</v>
      </c>
      <c r="F17" s="23">
        <v>46249</v>
      </c>
      <c r="G17" s="23" t="s">
        <v>55</v>
      </c>
      <c r="H17" s="23"/>
      <c r="I17" s="23"/>
    </row>
    <row r="18" spans="1:11" ht="15.75" thickBot="1" x14ac:dyDescent="0.3">
      <c r="A18" s="1" t="s">
        <v>31</v>
      </c>
      <c r="B18" s="56">
        <v>30</v>
      </c>
      <c r="C18" s="2">
        <v>300</v>
      </c>
      <c r="D18" s="59">
        <v>250</v>
      </c>
      <c r="E18" s="59">
        <v>200</v>
      </c>
      <c r="F18" s="2"/>
      <c r="G18" s="59"/>
      <c r="H18" s="2"/>
      <c r="I18" s="2"/>
      <c r="J18" s="22">
        <f>SUM(B18:I18)</f>
        <v>780</v>
      </c>
    </row>
    <row r="19" spans="1:11" ht="15.75" thickBot="1" x14ac:dyDescent="0.3">
      <c r="C19" s="11"/>
      <c r="D19" s="11"/>
      <c r="E19" s="54"/>
      <c r="F19" s="54"/>
      <c r="G19" s="2"/>
      <c r="H19" s="2"/>
      <c r="I19" s="20"/>
    </row>
    <row r="20" spans="1:11" ht="15.75" thickBot="1" x14ac:dyDescent="0.3">
      <c r="D20" s="12"/>
      <c r="H20" s="55" t="s">
        <v>33</v>
      </c>
      <c r="I20" s="24">
        <f>+H14+J14+G14</f>
        <v>488</v>
      </c>
    </row>
    <row r="21" spans="1:11" ht="15.75" thickBot="1" x14ac:dyDescent="0.3">
      <c r="D21" s="12"/>
      <c r="H21" s="25" t="s">
        <v>34</v>
      </c>
      <c r="I21" s="24">
        <f>+J18-H14-G14</f>
        <v>422</v>
      </c>
    </row>
    <row r="22" spans="1:11" ht="15.75" thickBot="1" x14ac:dyDescent="0.3">
      <c r="D22" s="20"/>
      <c r="H22" s="26" t="s">
        <v>49</v>
      </c>
      <c r="I22" s="24">
        <f>+I21-J14</f>
        <v>292</v>
      </c>
    </row>
    <row r="23" spans="1:11" x14ac:dyDescent="0.25">
      <c r="D23" s="12"/>
      <c r="I23" s="20"/>
    </row>
    <row r="24" spans="1:11" x14ac:dyDescent="0.25">
      <c r="D24" s="12"/>
      <c r="E24" s="20"/>
      <c r="G24" s="30"/>
      <c r="H24"/>
      <c r="I24"/>
      <c r="J24"/>
      <c r="K24"/>
    </row>
    <row r="25" spans="1:11" x14ac:dyDescent="0.25">
      <c r="D25" s="12"/>
      <c r="E25" s="20"/>
      <c r="G25" s="30"/>
      <c r="H25"/>
      <c r="I25"/>
      <c r="J25"/>
      <c r="K25"/>
    </row>
    <row r="26" spans="1:11" x14ac:dyDescent="0.25">
      <c r="D26" s="12"/>
      <c r="E26" s="20"/>
      <c r="G26" s="30"/>
      <c r="H26"/>
      <c r="I26"/>
      <c r="J26"/>
      <c r="K26"/>
    </row>
    <row r="27" spans="1:11" x14ac:dyDescent="0.25">
      <c r="D27" s="12"/>
      <c r="I27" s="20"/>
    </row>
    <row r="28" spans="1:11" x14ac:dyDescent="0.25">
      <c r="D28" s="3"/>
      <c r="I28" s="20"/>
    </row>
    <row r="29" spans="1:11" x14ac:dyDescent="0.25">
      <c r="D29" s="3"/>
      <c r="I29" s="20"/>
    </row>
    <row r="30" spans="1:11" x14ac:dyDescent="0.25">
      <c r="D30" s="3"/>
      <c r="I30" s="20"/>
    </row>
    <row r="31" spans="1:11" x14ac:dyDescent="0.25">
      <c r="D31" s="3"/>
      <c r="I31" s="20"/>
    </row>
    <row r="32" spans="1:11" x14ac:dyDescent="0.25">
      <c r="D32" s="3"/>
      <c r="I32" s="20"/>
    </row>
    <row r="33" spans="4:9" x14ac:dyDescent="0.25">
      <c r="D33" s="3"/>
      <c r="I33" s="20"/>
    </row>
    <row r="34" spans="4:9" x14ac:dyDescent="0.25">
      <c r="D34" s="3"/>
      <c r="I34" s="20"/>
    </row>
    <row r="35" spans="4:9" x14ac:dyDescent="0.25">
      <c r="D35" s="3"/>
      <c r="I35" s="20"/>
    </row>
    <row r="36" spans="4:9" x14ac:dyDescent="0.25">
      <c r="D36" s="3"/>
      <c r="I36" s="20"/>
    </row>
    <row r="37" spans="4:9" x14ac:dyDescent="0.25">
      <c r="D37" s="3"/>
      <c r="I37" s="20"/>
    </row>
    <row r="38" spans="4:9" x14ac:dyDescent="0.25">
      <c r="D38" s="3"/>
      <c r="I38" s="20"/>
    </row>
    <row r="39" spans="4:9" x14ac:dyDescent="0.25">
      <c r="D39" s="3"/>
      <c r="I39" s="20"/>
    </row>
    <row r="40" spans="4:9" x14ac:dyDescent="0.25">
      <c r="D40" s="3"/>
      <c r="I40" s="20"/>
    </row>
    <row r="41" spans="4:9" x14ac:dyDescent="0.25">
      <c r="D41" s="3"/>
      <c r="I41" s="20"/>
    </row>
    <row r="42" spans="4:9" x14ac:dyDescent="0.25">
      <c r="D42" s="3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24" priority="37" timePeriod="nextMonth">
      <formula>AND(MONTH(D1)=MONTH(EDATE(TODAY(),0+1)),YEAR(D1)=YEAR(EDATE(TODAY(),0+1)))</formula>
    </cfRule>
    <cfRule type="timePeriod" dxfId="23" priority="38" timePeriod="thisMonth">
      <formula>AND(MONTH(D1)=MONTH(TODAY()),YEAR(D1)=YEAR(TODAY()))</formula>
    </cfRule>
    <cfRule type="timePeriod" dxfId="22" priority="39" timePeriod="lastMonth">
      <formula>AND(MONTH(D1)=MONTH(EDATE(TODAY(),0-1)),YEAR(D1)=YEAR(EDATE(TODAY(),0-1)))</formula>
    </cfRule>
  </conditionalFormatting>
  <conditionalFormatting sqref="D22:D27 D43:D1048576">
    <cfRule type="timePeriod" dxfId="21" priority="1" timePeriod="nextMonth">
      <formula>AND(MONTH(D22)=MONTH(EDATE(TODAY(),0+1)),YEAR(D22)=YEAR(EDATE(TODAY(),0+1)))</formula>
    </cfRule>
    <cfRule type="timePeriod" dxfId="20" priority="2" timePeriod="thisMonth">
      <formula>AND(MONTH(D22)=MONTH(TODAY()),YEAR(D22)=YEAR(TODAY()))</formula>
    </cfRule>
    <cfRule type="timePeriod" dxfId="19" priority="3" timePeriod="lastMonth">
      <formula>AND(MONTH(D22)=MONTH(EDATE(TODAY(),0-1)),YEAR(D22)=YEAR(EDATE(TODAY(),0-1)))</formula>
    </cfRule>
  </conditionalFormatting>
  <conditionalFormatting sqref="I1:I16 I19:I23 E24:E26 I27:I1048576">
    <cfRule type="timePeriod" dxfId="18" priority="40" timePeriod="nextMonth">
      <formula>AND(MONTH(E1)=MONTH(EDATE(TODAY(),0+1)),YEAR(E1)=YEAR(EDATE(TODAY(),0+1)))</formula>
    </cfRule>
    <cfRule type="timePeriod" dxfId="17" priority="41" timePeriod="thisMonth">
      <formula>AND(MONTH(E1)=MONTH(TODAY()),YEAR(E1)=YEAR(TODAY()))</formula>
    </cfRule>
  </conditionalFormatting>
  <conditionalFormatting sqref="I21">
    <cfRule type="cellIs" dxfId="16" priority="45" operator="greaterThan">
      <formula>0</formula>
    </cfRule>
  </conditionalFormatting>
  <conditionalFormatting sqref="I21:I22">
    <cfRule type="cellIs" dxfId="15" priority="42" operator="lessThan">
      <formula>0</formula>
    </cfRule>
  </conditionalFormatting>
  <conditionalFormatting sqref="I22">
    <cfRule type="cellIs" dxfId="14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D62"/>
  <sheetViews>
    <sheetView workbookViewId="0">
      <selection activeCell="F11" sqref="F11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4" ht="30" x14ac:dyDescent="0.25">
      <c r="A1" s="44" t="s">
        <v>44</v>
      </c>
      <c r="B1" s="47" t="s">
        <v>47</v>
      </c>
      <c r="C1" s="47" t="s">
        <v>48</v>
      </c>
    </row>
    <row r="2" spans="1:4" x14ac:dyDescent="0.25">
      <c r="A2" s="46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4" x14ac:dyDescent="0.25">
      <c r="A3" s="46">
        <v>46037</v>
      </c>
      <c r="B3" s="11">
        <v>75</v>
      </c>
      <c r="C3" s="11">
        <v>50</v>
      </c>
      <c r="D3" t="b">
        <f t="shared" ca="1" si="0"/>
        <v>0</v>
      </c>
    </row>
    <row r="4" spans="1:4" x14ac:dyDescent="0.25">
      <c r="A4" s="46">
        <v>46053</v>
      </c>
      <c r="B4" s="11">
        <v>70</v>
      </c>
      <c r="C4" s="11">
        <v>0</v>
      </c>
      <c r="D4" t="b">
        <f t="shared" ca="1" si="0"/>
        <v>0</v>
      </c>
    </row>
    <row r="5" spans="1:4" x14ac:dyDescent="0.25">
      <c r="A5" s="46">
        <v>46068</v>
      </c>
      <c r="B5" s="11">
        <v>75</v>
      </c>
      <c r="C5" s="11">
        <v>0</v>
      </c>
      <c r="D5" t="b">
        <f t="shared" ca="1" si="0"/>
        <v>0</v>
      </c>
    </row>
    <row r="6" spans="1:4" x14ac:dyDescent="0.25">
      <c r="A6" s="46">
        <v>46081</v>
      </c>
      <c r="B6" s="11">
        <v>70</v>
      </c>
      <c r="C6" s="11">
        <v>0</v>
      </c>
      <c r="D6" t="b">
        <f t="shared" ca="1" si="0"/>
        <v>0</v>
      </c>
    </row>
    <row r="7" spans="1:4" x14ac:dyDescent="0.25">
      <c r="A7" s="46">
        <v>46096</v>
      </c>
      <c r="B7" s="11">
        <v>75</v>
      </c>
      <c r="C7" s="11">
        <v>150</v>
      </c>
      <c r="D7" t="b">
        <f t="shared" ca="1" si="0"/>
        <v>0</v>
      </c>
    </row>
    <row r="8" spans="1:4" x14ac:dyDescent="0.25">
      <c r="A8" s="46">
        <v>46112</v>
      </c>
      <c r="B8" s="11">
        <v>70</v>
      </c>
      <c r="C8" s="11">
        <v>100</v>
      </c>
      <c r="D8" t="b">
        <f t="shared" ca="1" si="0"/>
        <v>0</v>
      </c>
    </row>
    <row r="9" spans="1:4" x14ac:dyDescent="0.25">
      <c r="A9" s="46">
        <v>46127</v>
      </c>
      <c r="B9" s="11">
        <v>75</v>
      </c>
      <c r="C9" s="11">
        <v>100</v>
      </c>
      <c r="D9" t="b">
        <f t="shared" ca="1" si="0"/>
        <v>0</v>
      </c>
    </row>
    <row r="10" spans="1:4" x14ac:dyDescent="0.25">
      <c r="A10" s="46">
        <v>46142</v>
      </c>
      <c r="B10" s="11">
        <v>70</v>
      </c>
      <c r="C10" s="11">
        <v>0</v>
      </c>
      <c r="D10" t="b">
        <f t="shared" ca="1" si="0"/>
        <v>0</v>
      </c>
    </row>
    <row r="11" spans="1:4" x14ac:dyDescent="0.25">
      <c r="A11" s="46">
        <v>46157</v>
      </c>
      <c r="B11" s="11">
        <v>75</v>
      </c>
      <c r="C11" s="11">
        <v>50</v>
      </c>
      <c r="D11" t="b">
        <f t="shared" ca="1" si="0"/>
        <v>0</v>
      </c>
    </row>
    <row r="12" spans="1:4" x14ac:dyDescent="0.25">
      <c r="A12" s="46">
        <v>46173</v>
      </c>
      <c r="B12" s="11">
        <v>70</v>
      </c>
      <c r="C12" s="11">
        <v>50</v>
      </c>
      <c r="D12" t="b">
        <f t="shared" ca="1" si="0"/>
        <v>0</v>
      </c>
    </row>
    <row r="13" spans="1:4" x14ac:dyDescent="0.25">
      <c r="A13" s="46">
        <v>46188</v>
      </c>
      <c r="B13" s="11">
        <v>75</v>
      </c>
      <c r="C13" s="11">
        <v>50</v>
      </c>
      <c r="D13" t="b">
        <f t="shared" ca="1" si="0"/>
        <v>0</v>
      </c>
    </row>
    <row r="14" spans="1:4" x14ac:dyDescent="0.25">
      <c r="A14" s="46">
        <v>46203</v>
      </c>
      <c r="B14" s="11">
        <v>70</v>
      </c>
      <c r="C14" s="11"/>
      <c r="D14" t="b">
        <f t="shared" ca="1" si="0"/>
        <v>0</v>
      </c>
    </row>
    <row r="15" spans="1:4" x14ac:dyDescent="0.25">
      <c r="A15" s="46">
        <v>46218</v>
      </c>
      <c r="B15" s="11">
        <v>75</v>
      </c>
      <c r="C15" s="11"/>
      <c r="D15" t="b">
        <f t="shared" ca="1" si="0"/>
        <v>0</v>
      </c>
    </row>
    <row r="16" spans="1:4" x14ac:dyDescent="0.25">
      <c r="A16" s="46">
        <v>46234</v>
      </c>
      <c r="B16" s="11">
        <v>70</v>
      </c>
      <c r="C16" s="11"/>
      <c r="D16" t="b">
        <f t="shared" ca="1" si="0"/>
        <v>0</v>
      </c>
    </row>
    <row r="17" spans="1:4" x14ac:dyDescent="0.25">
      <c r="A17" s="46">
        <v>46249</v>
      </c>
      <c r="B17" s="11">
        <v>75</v>
      </c>
      <c r="C17" s="11"/>
      <c r="D17" t="b">
        <f t="shared" ca="1" si="0"/>
        <v>0</v>
      </c>
    </row>
    <row r="18" spans="1:4" x14ac:dyDescent="0.25">
      <c r="A18" s="46">
        <v>46265</v>
      </c>
      <c r="B18" s="11">
        <v>70</v>
      </c>
      <c r="C18" s="11"/>
      <c r="D18" t="b">
        <f t="shared" ca="1" si="0"/>
        <v>0</v>
      </c>
    </row>
    <row r="19" spans="1:4" x14ac:dyDescent="0.25">
      <c r="A19" s="46">
        <v>46280</v>
      </c>
      <c r="B19" s="11">
        <v>75</v>
      </c>
      <c r="C19" s="11"/>
      <c r="D19" t="b">
        <f t="shared" ca="1" si="0"/>
        <v>0</v>
      </c>
    </row>
    <row r="20" spans="1:4" x14ac:dyDescent="0.25">
      <c r="A20" s="46">
        <v>46295</v>
      </c>
      <c r="B20" s="11">
        <v>70</v>
      </c>
      <c r="C20" s="11"/>
      <c r="D20" t="b">
        <f t="shared" ca="1" si="0"/>
        <v>0</v>
      </c>
    </row>
    <row r="21" spans="1:4" x14ac:dyDescent="0.25">
      <c r="A21" s="46">
        <v>46310</v>
      </c>
      <c r="B21" s="11">
        <v>75</v>
      </c>
      <c r="C21" s="11"/>
      <c r="D21" t="b">
        <f t="shared" ca="1" si="0"/>
        <v>0</v>
      </c>
    </row>
    <row r="22" spans="1:4" x14ac:dyDescent="0.25">
      <c r="A22" s="46">
        <v>46326</v>
      </c>
      <c r="B22" s="11">
        <v>70</v>
      </c>
      <c r="C22" s="11"/>
      <c r="D22" t="b">
        <f t="shared" ca="1" si="0"/>
        <v>0</v>
      </c>
    </row>
    <row r="23" spans="1:4" x14ac:dyDescent="0.25">
      <c r="A23" s="46">
        <v>46341</v>
      </c>
      <c r="B23" s="11">
        <v>75</v>
      </c>
      <c r="C23" s="11"/>
      <c r="D23" t="b">
        <f t="shared" ca="1" si="0"/>
        <v>0</v>
      </c>
    </row>
    <row r="24" spans="1:4" x14ac:dyDescent="0.25">
      <c r="A24" s="46">
        <v>46356</v>
      </c>
      <c r="B24" s="11">
        <v>70</v>
      </c>
      <c r="C24" s="11"/>
      <c r="D24" t="b">
        <f t="shared" ca="1" si="0"/>
        <v>0</v>
      </c>
    </row>
    <row r="25" spans="1:4" x14ac:dyDescent="0.25">
      <c r="A25" s="46">
        <v>46371</v>
      </c>
      <c r="B25" s="11">
        <v>75</v>
      </c>
      <c r="C25" s="11"/>
      <c r="D25" t="b">
        <f t="shared" ca="1" si="0"/>
        <v>0</v>
      </c>
    </row>
    <row r="26" spans="1:4" x14ac:dyDescent="0.25">
      <c r="A26" s="45" t="s">
        <v>45</v>
      </c>
      <c r="B26" s="11">
        <v>250</v>
      </c>
      <c r="C26" s="11"/>
      <c r="D26" t="b">
        <f t="shared" ca="1" si="0"/>
        <v>0</v>
      </c>
    </row>
    <row r="27" spans="1:4" x14ac:dyDescent="0.25">
      <c r="A27" s="45" t="s">
        <v>46</v>
      </c>
      <c r="B27" s="11">
        <v>315</v>
      </c>
      <c r="C27" s="11"/>
      <c r="D27" t="b">
        <f t="shared" ca="1" si="0"/>
        <v>0</v>
      </c>
    </row>
    <row r="28" spans="1:4" x14ac:dyDescent="0.25">
      <c r="A28" s="46">
        <v>46387</v>
      </c>
      <c r="B28" s="11">
        <v>70</v>
      </c>
      <c r="C28" s="48"/>
      <c r="D28" t="b">
        <f t="shared" ca="1" si="0"/>
        <v>0</v>
      </c>
    </row>
    <row r="29" spans="1:4" x14ac:dyDescent="0.25">
      <c r="A29" s="46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25">
      <c r="A30" s="46">
        <v>46418</v>
      </c>
      <c r="B30" s="11">
        <v>70</v>
      </c>
      <c r="C30" s="11"/>
      <c r="D30" t="b">
        <f t="shared" ca="1" si="1"/>
        <v>0</v>
      </c>
    </row>
    <row r="31" spans="1:4" x14ac:dyDescent="0.25">
      <c r="A31" s="46">
        <v>46433</v>
      </c>
      <c r="B31" s="11">
        <v>75</v>
      </c>
      <c r="C31" s="11"/>
      <c r="D31" t="b">
        <f t="shared" ca="1" si="1"/>
        <v>0</v>
      </c>
    </row>
    <row r="32" spans="1:4" x14ac:dyDescent="0.25">
      <c r="A32" s="46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6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6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6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6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6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6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6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6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6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6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6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6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6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6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6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6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6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6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6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5" t="s">
        <v>45</v>
      </c>
      <c r="B52" s="11">
        <v>250</v>
      </c>
      <c r="C52" s="11"/>
      <c r="D52" t="b">
        <f t="shared" ca="1" si="1"/>
        <v>0</v>
      </c>
    </row>
    <row r="53" spans="1:4" x14ac:dyDescent="0.25">
      <c r="A53" s="45" t="s">
        <v>46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6">
        <v>46752</v>
      </c>
      <c r="B54" s="11">
        <v>70</v>
      </c>
      <c r="C54" s="48"/>
      <c r="D54" t="b">
        <f t="shared" ca="1" si="1"/>
        <v>0</v>
      </c>
    </row>
    <row r="55" spans="1:4" ht="15.75" thickBot="1" x14ac:dyDescent="0.3">
      <c r="B55" s="49">
        <f>SUM(B2:B54)</f>
        <v>4610</v>
      </c>
      <c r="C55" s="50">
        <f>SUM(C2:C54)</f>
        <v>550</v>
      </c>
    </row>
    <row r="56" spans="1:4" ht="15.75" thickBot="1" x14ac:dyDescent="0.3">
      <c r="B56" s="3"/>
      <c r="C56" s="3"/>
    </row>
    <row r="57" spans="1:4" ht="15.75" thickBot="1" x14ac:dyDescent="0.3">
      <c r="B57" s="62">
        <f ca="1">IFERROR(SUMIFS(C2:C54,A2:A54,"&lt;="&amp;TODAY()),0)-IFERROR(SUMIFS(B2:B54,A2:A54,"&lt;="&amp;TODAY()),0)</f>
        <v>-465</v>
      </c>
      <c r="C57" s="63"/>
    </row>
    <row r="58" spans="1:4" x14ac:dyDescent="0.25">
      <c r="B58" s="58"/>
      <c r="C58" s="3"/>
    </row>
    <row r="59" spans="1:4" x14ac:dyDescent="0.25">
      <c r="B59"/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2026-07-31T16:13:59Z</dcterms:modified>
</cp:coreProperties>
</file>