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804EE8C3-7433-457A-A443-12B57CAFB527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4" l="1"/>
  <c r="B59" i="4"/>
  <c r="B58" i="4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C14" i="3"/>
  <c r="J18" i="3"/>
  <c r="H14" i="3"/>
  <c r="G14" i="3"/>
  <c r="F17" i="2"/>
  <c r="I21" i="3" l="1"/>
  <c r="J14" i="3"/>
  <c r="I20" i="3" s="1"/>
  <c r="F19" i="2"/>
  <c r="I22" i="3" l="1"/>
  <c r="D17" i="2" l="1"/>
  <c r="D19" i="2" s="1"/>
</calcChain>
</file>

<file path=xl/sharedStrings.xml><?xml version="1.0" encoding="utf-8"?>
<sst xmlns="http://schemas.openxmlformats.org/spreadsheetml/2006/main" count="81" uniqueCount="61">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</sst>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/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opLeftCell="A4" zoomScale="121" workbookViewId="0">
      <selection activeCell="C19" sqref="C19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70</v>
      </c>
      <c r="F6" s="8">
        <v>70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15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2" workbookViewId="0">
      <selection activeCell="E19" sqref="E19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586.71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>
        <v>60.79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v>280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/>
      <c r="F14" s="21"/>
      <c r="G14" s="21">
        <f>SUM(G3:G13)</f>
        <v>0</v>
      </c>
      <c r="H14" s="21">
        <f>SUM(H3:H13)</f>
        <v>0</v>
      </c>
      <c r="I14" s="21"/>
      <c r="J14" s="21">
        <f>SUM(J3:J13)</f>
        <v>647.5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46081</v>
      </c>
      <c r="D17" s="24">
        <v>46096</v>
      </c>
      <c r="E17" s="24">
        <v>46111</v>
      </c>
      <c r="F17" s="24" t="s">
        <v>60</v>
      </c>
      <c r="G17" s="24"/>
      <c r="H17" s="24"/>
      <c r="I17" s="24"/>
    </row>
    <row r="18" spans="1:10" ht="15" thickBot="1" x14ac:dyDescent="0.35">
      <c r="A18" s="1" t="s">
        <v>35</v>
      </c>
      <c r="B18" s="57">
        <v>150</v>
      </c>
      <c r="C18" s="2">
        <v>60</v>
      </c>
      <c r="D18" s="2">
        <v>30</v>
      </c>
      <c r="E18" s="2">
        <v>60</v>
      </c>
      <c r="F18" s="2">
        <v>150</v>
      </c>
      <c r="G18" s="2">
        <v>70</v>
      </c>
      <c r="H18" s="2">
        <v>400</v>
      </c>
      <c r="I18" s="22"/>
      <c r="J18" s="23">
        <f>SUM(B18:I18)</f>
        <v>920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647.5</v>
      </c>
    </row>
    <row r="21" spans="1:10" ht="15" thickBot="1" x14ac:dyDescent="0.35">
      <c r="D21" s="12"/>
      <c r="H21" s="26" t="s">
        <v>38</v>
      </c>
      <c r="I21" s="25">
        <f>+J18-H14-G14</f>
        <v>920</v>
      </c>
    </row>
    <row r="22" spans="1:10" ht="15" thickBot="1" x14ac:dyDescent="0.35">
      <c r="D22" s="20"/>
      <c r="H22" s="27" t="s">
        <v>54</v>
      </c>
      <c r="I22" s="25">
        <f>+I21-J14</f>
        <v>272.5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workbookViewId="0">
      <selection activeCell="K8" sqref="K8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7" ht="28.8" x14ac:dyDescent="0.3">
      <c r="A1" s="45" t="s">
        <v>49</v>
      </c>
      <c r="B1" s="48" t="s">
        <v>52</v>
      </c>
      <c r="C1" s="48" t="s">
        <v>53</v>
      </c>
    </row>
    <row r="2" spans="1:7" x14ac:dyDescent="0.3">
      <c r="A2" s="47"/>
      <c r="B2" s="11">
        <v>0</v>
      </c>
      <c r="C2" s="11">
        <v>250</v>
      </c>
      <c r="D2" t="b">
        <f t="shared" ref="D2:D28" ca="1" si="0">AND(TEXT(A2,"mm-yyyy")=TEXT(TODAY()-DAY(TODAY()-1),"mm-yyyy"), C2&gt;=B2)</f>
        <v>0</v>
      </c>
    </row>
    <row r="3" spans="1:7" x14ac:dyDescent="0.3">
      <c r="A3" s="47">
        <v>46037</v>
      </c>
      <c r="B3" s="11">
        <v>75</v>
      </c>
      <c r="C3" s="11">
        <v>150</v>
      </c>
      <c r="D3" t="b">
        <f t="shared" ca="1" si="0"/>
        <v>0</v>
      </c>
    </row>
    <row r="4" spans="1:7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7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3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400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-70</v>
      </c>
      <c r="C57" s="61"/>
    </row>
    <row r="58" spans="1:4" x14ac:dyDescent="0.3">
      <c r="B58" s="59">
        <f ca="1">IF(SUMIFS(B2:B54,A2:A54,"&lt;="&amp;TODAY())=0,0,SUMIFS(C2:C54,A2:A54,"&lt;="&amp;TODAY())/SUMIFS(B2:B54,A2:A54,"&lt;="&amp;TODAY()))</f>
        <v>0.68181818181818177</v>
      </c>
      <c r="C58" s="3"/>
    </row>
    <row r="59" spans="1:4" x14ac:dyDescent="0.3">
      <c r="B59">
        <f ca="1">MAX(0, SUMIFS(B2:B54,A2:A54,"&lt;="&amp;TODAY())-SUMIFS(C2:C54,A2:A54,"&lt;="&amp;TODAY()))</f>
        <v>70</v>
      </c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2026-02-26T18:50:18Z</dcterms:modified>
</cp:coreProperties>
</file>